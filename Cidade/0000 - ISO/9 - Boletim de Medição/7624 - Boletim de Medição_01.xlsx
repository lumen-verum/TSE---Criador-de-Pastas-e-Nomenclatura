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tse-my.sharepoint.com/personal/samuel_morais_tsea_com_br/Documents/Área de Trabalho/BM/7624 - PROJ ADEQUAR UNIFILAR BIODIESE/"/>
    </mc:Choice>
  </mc:AlternateContent>
  <xr:revisionPtr revIDLastSave="32" documentId="11_6B14DE4F9AB3B31795DF0780ACE60061F97BF4B4" xr6:coauthVersionLast="47" xr6:coauthVersionMax="47" xr10:uidLastSave="{DE36822A-1D36-41B7-A362-260256E2A15F}"/>
  <bookViews>
    <workbookView xWindow="-120" yWindow="-120" windowWidth="29040" windowHeight="15720" xr2:uid="{00000000-000D-0000-FFFF-FFFF00000000}"/>
  </bookViews>
  <sheets>
    <sheet name="TSE" sheetId="1" r:id="rId1"/>
  </sheets>
  <definedNames>
    <definedName name="_xlnm.Print_Area" localSheetId="0">TSE!$A$1:$AF$39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3" i="1" l="1"/>
  <c r="AH23" i="1"/>
  <c r="Z23" i="1"/>
  <c r="Z21" i="1" s="1"/>
  <c r="R23" i="1"/>
  <c r="AA21" i="1"/>
  <c r="Y21" i="1"/>
  <c r="S21" i="1"/>
  <c r="R21" i="1"/>
  <c r="Q21" i="1"/>
  <c r="L21" i="1"/>
  <c r="L15" i="1" s="1"/>
  <c r="AK19" i="1"/>
  <c r="AH19" i="1"/>
  <c r="AH17" i="1" s="1"/>
  <c r="AC19" i="1"/>
  <c r="AJ19" i="1" s="1"/>
  <c r="AJ17" i="1" s="1"/>
  <c r="Z19" i="1"/>
  <c r="Z17" i="1" s="1"/>
  <c r="R19" i="1"/>
  <c r="S17" i="1"/>
  <c r="R17" i="1"/>
  <c r="Q17" i="1"/>
  <c r="L17" i="1"/>
  <c r="N11" i="1"/>
  <c r="N4" i="1"/>
  <c r="Z15" i="1" l="1"/>
  <c r="AH21" i="1"/>
  <c r="AH15" i="1" s="1"/>
  <c r="V9" i="1"/>
  <c r="M19" i="1"/>
  <c r="AD9" i="1"/>
  <c r="AL9" i="1"/>
  <c r="M23" i="1"/>
  <c r="M17" i="1" l="1"/>
  <c r="T19" i="1"/>
  <c r="N19" i="1"/>
  <c r="N17" i="1" s="1"/>
  <c r="N23" i="1"/>
  <c r="N21" i="1" s="1"/>
  <c r="AJ23" i="1"/>
  <c r="AB23" i="1"/>
  <c r="T23" i="1"/>
  <c r="M21" i="1"/>
  <c r="T21" i="1" l="1"/>
  <c r="V23" i="1"/>
  <c r="AD23" i="1" s="1"/>
  <c r="AD21" i="1" s="1"/>
  <c r="N15" i="1"/>
  <c r="T17" i="1"/>
  <c r="T15" i="1" s="1"/>
  <c r="V19" i="1"/>
  <c r="AB21" i="1"/>
  <c r="AJ21" i="1"/>
  <c r="AL23" i="1"/>
  <c r="AL21" i="1" s="1"/>
  <c r="M15" i="1"/>
  <c r="AI17" i="1"/>
  <c r="S15" i="1" l="1"/>
  <c r="AB19" i="1"/>
  <c r="V17" i="1"/>
  <c r="AI21" i="1"/>
  <c r="AJ15" i="1"/>
  <c r="V21" i="1"/>
  <c r="U23" i="1"/>
  <c r="U21" i="1" l="1"/>
  <c r="AC23" i="1"/>
  <c r="AC21" i="1" s="1"/>
  <c r="AI15" i="1"/>
  <c r="AL8" i="1"/>
  <c r="V15" i="1"/>
  <c r="AD19" i="1"/>
  <c r="AB17" i="1"/>
  <c r="AD17" i="1" l="1"/>
  <c r="AD15" i="1" s="1"/>
  <c r="AC15" i="1" s="1"/>
  <c r="AL19" i="1"/>
  <c r="AK8" i="1"/>
  <c r="V8" i="1"/>
  <c r="U15" i="1"/>
  <c r="AB15" i="1"/>
  <c r="AA17" i="1"/>
  <c r="AA15" i="1" l="1"/>
  <c r="AD8" i="1"/>
  <c r="U8" i="1"/>
  <c r="V10" i="1"/>
  <c r="AL17" i="1"/>
  <c r="AL15" i="1" s="1"/>
  <c r="AK15" i="1" s="1"/>
  <c r="U10" i="1" l="1"/>
  <c r="V11" i="1"/>
  <c r="U11" i="1" s="1"/>
  <c r="AC8" i="1"/>
  <c r="AD10" i="1"/>
  <c r="AC10" i="1" l="1"/>
  <c r="AD11" i="1"/>
  <c r="AC11" i="1" s="1"/>
  <c r="AL10" i="1"/>
  <c r="AK10" i="1" l="1"/>
  <c r="AL11" i="1"/>
  <c r="AK11" i="1" s="1"/>
</calcChain>
</file>

<file path=xl/sharedStrings.xml><?xml version="1.0" encoding="utf-8"?>
<sst xmlns="http://schemas.openxmlformats.org/spreadsheetml/2006/main" count="98" uniqueCount="61">
  <si>
    <t>MEMÓRIA DE CÁLCULO</t>
  </si>
  <si>
    <t>Número:</t>
  </si>
  <si>
    <t>HISTÓRICO DE MEDIÇÕES</t>
  </si>
  <si>
    <t>Revisão:</t>
  </si>
  <si>
    <t>00</t>
  </si>
  <si>
    <t>7624 - PROJ ADEQUAR UNIFILAR BIODIESEL</t>
  </si>
  <si>
    <t>Data:</t>
  </si>
  <si>
    <t>BM 00</t>
  </si>
  <si>
    <t>BM 01</t>
  </si>
  <si>
    <t>BM 02</t>
  </si>
  <si>
    <t>Elaborado:</t>
  </si>
  <si>
    <t>1ª PARCELA - SINAL (50%)</t>
  </si>
  <si>
    <t>2ª PARCELA - CONCLUSÃO (50%)</t>
  </si>
  <si>
    <t>Verif/Aprov.:</t>
  </si>
  <si>
    <t>Evandro Montini</t>
  </si>
  <si>
    <t>RESUMO - FATURAMENTO TSE</t>
  </si>
  <si>
    <t>Cliente: CARGILL AGRÍCOLA S/A - ANÁPOLIS - GO</t>
  </si>
  <si>
    <t>RESUMO</t>
  </si>
  <si>
    <t>TOTAL NO PERÍODO</t>
  </si>
  <si>
    <t>VALOR TOTAL CONTRATADO</t>
  </si>
  <si>
    <t>RETENÇÃO</t>
  </si>
  <si>
    <t>DESCONTO TSE</t>
  </si>
  <si>
    <t>TOTAL ACUMULADO</t>
  </si>
  <si>
    <t>VALOR FINAL DO CONTRATO</t>
  </si>
  <si>
    <t>SALDO</t>
  </si>
  <si>
    <t>Item</t>
  </si>
  <si>
    <t>Descrição do Serviço</t>
  </si>
  <si>
    <t>Unidade</t>
  </si>
  <si>
    <t>Quant.</t>
  </si>
  <si>
    <t>DIVISÃO (%) DE CUSTO</t>
  </si>
  <si>
    <t>DIVISÃO DE CUSTO</t>
  </si>
  <si>
    <t xml:space="preserve">Preços Totais R$ </t>
  </si>
  <si>
    <t>TOTAL</t>
  </si>
  <si>
    <t>PERÍODO</t>
  </si>
  <si>
    <t>ACUMULADO</t>
  </si>
  <si>
    <t>SOFTWARE</t>
  </si>
  <si>
    <t>PROJETO</t>
  </si>
  <si>
    <t>PAINEL</t>
  </si>
  <si>
    <t>Materiais</t>
  </si>
  <si>
    <t>Mão de Obra</t>
  </si>
  <si>
    <t>GERAL</t>
  </si>
  <si>
    <t>%</t>
  </si>
  <si>
    <t>R$ Material</t>
  </si>
  <si>
    <t>R$ Mão de Obra</t>
  </si>
  <si>
    <t>VALOR (R$)</t>
  </si>
  <si>
    <t>Emissão do Pedido de Compras</t>
  </si>
  <si>
    <t>1.1</t>
  </si>
  <si>
    <t>Início do Projeto - Sinal com assinatura do pedido/contrato</t>
  </si>
  <si>
    <t>Vb.</t>
  </si>
  <si>
    <t>Desenvolvimento do Projeto - Diagrama Unifilar</t>
  </si>
  <si>
    <t>2.1</t>
  </si>
  <si>
    <t>Elaboração do diagrama unifilar do novo painel CCM1 (Biodiesel) e atualização do unifilar geral da planta (Subestações Moagem e Caldeira 2)</t>
  </si>
  <si>
    <t>Considerações / Apontamentos referente ao Boletim de Medição apresentado:</t>
  </si>
  <si>
    <t>BM 00 - Parcela de Start (50%): aprovação registrada por e-mail do Sr. Luciano Alves da Silva (Cargill Agrícola S/A) em 02/12/2025, referente à Proposta TSE P25_10_23358 - REV00 / Pedido Cargill 4796C252180.</t>
  </si>
  <si>
    <t>Responsável TSE</t>
  </si>
  <si>
    <t xml:space="preserve">Responsável Gerenciamento </t>
  </si>
  <si>
    <t>Data</t>
  </si>
  <si>
    <t xml:space="preserve">BM 01 - 2ª Parcela (50%): faturamento após a conclusão dos serviços e aceite técnico, conforme item 10.3 da proposta. </t>
  </si>
  <si>
    <t>Escopo entregue: diagrama unifilar do novo painel CCM1 (Biodiesel) e atualização do unifilar geral da planta - subestações da Moagem e da Caldeira 2.</t>
  </si>
  <si>
    <t>Samuel Ribeiro Morais</t>
  </si>
  <si>
    <t xml:space="preserve">                           Responsável Gerenciamento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</si>
</sst>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"/>
    <numFmt numFmtId="165" formatCode="&quot;R$&quot;\ #,##0.00"/>
    <numFmt numFmtId="166" formatCode="[$R-436]\ #,##0.00"/>
    <numFmt numFmtId="167" formatCode="[$R$ -416]#,##0.00"/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18"/>
      <name val="Arial"/>
      <family val="2"/>
    </font>
    <font>
      <b/>
      <sz val="11"/>
      <color indexed="8"/>
      <name val="Arial"/>
      <family val="2"/>
    </font>
    <font>
      <b/>
      <sz val="11"/>
      <color theme="0"/>
      <name val="Arial"/>
      <family val="2"/>
    </font>
    <font>
      <b/>
      <u/>
      <sz val="11"/>
      <color theme="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4"/>
      <name val="Arial"/>
      <family val="2"/>
    </font>
    <font>
      <sz val="9"/>
      <color theme="1"/>
      <name val="Arial"/>
      <family val="2"/>
    </font>
    <font>
      <strike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41"/>
      </patternFill>
    </fill>
    <fill>
      <patternFill patternType="solid">
        <fgColor theme="9" tint="0.39997558519241921"/>
        <bgColor indexed="41"/>
      </patternFill>
    </fill>
    <fill>
      <patternFill patternType="solid">
        <fgColor rgb="FF39606F"/>
        <bgColor indexed="64"/>
      </patternFill>
    </fill>
    <fill>
      <patternFill patternType="solid">
        <fgColor rgb="FFA4C3D0"/>
        <bgColor indexed="64"/>
      </patternFill>
    </fill>
    <fill>
      <patternFill patternType="solid">
        <fgColor rgb="FFFFFF00"/>
        <bgColor indexed="41"/>
      </patternFill>
    </fill>
    <fill>
      <patternFill patternType="solid">
        <fgColor rgb="FFF2F2F2"/>
        <bgColor indexed="41"/>
      </patternFill>
    </fill>
    <fill>
      <patternFill patternType="solid">
        <fgColor rgb="FFF2F2F2"/>
        <bgColor indexed="64"/>
      </patternFill>
    </fill>
  </fills>
  <borders count="8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/>
      <right/>
      <top/>
      <bottom style="double">
        <color theme="0"/>
      </bottom>
      <diagonal/>
    </border>
    <border>
      <left/>
      <right style="double">
        <color theme="0"/>
      </right>
      <top/>
      <bottom style="double">
        <color theme="0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4">
    <xf numFmtId="0" fontId="0" fillId="0" borderId="0"/>
    <xf numFmtId="44" fontId="1" fillId="0" borderId="0"/>
    <xf numFmtId="9" fontId="1" fillId="0" borderId="0"/>
    <xf numFmtId="0" fontId="8" fillId="0" borderId="0"/>
  </cellStyleXfs>
  <cellXfs count="204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165" fontId="2" fillId="2" borderId="0" xfId="0" applyNumberFormat="1" applyFont="1" applyFill="1"/>
    <xf numFmtId="4" fontId="4" fillId="3" borderId="29" xfId="0" applyNumberFormat="1" applyFont="1" applyFill="1" applyBorder="1" applyAlignment="1" applyProtection="1">
      <alignment horizontal="center"/>
      <protection hidden="1"/>
    </xf>
    <xf numFmtId="4" fontId="4" fillId="3" borderId="30" xfId="0" applyNumberFormat="1" applyFont="1" applyFill="1" applyBorder="1" applyAlignment="1" applyProtection="1">
      <alignment horizontal="center"/>
      <protection hidden="1"/>
    </xf>
    <xf numFmtId="165" fontId="4" fillId="3" borderId="34" xfId="0" applyNumberFormat="1" applyFont="1" applyFill="1" applyBorder="1" applyAlignment="1" applyProtection="1">
      <alignment horizontal="center" vertical="center"/>
      <protection hidden="1"/>
    </xf>
    <xf numFmtId="4" fontId="4" fillId="3" borderId="36" xfId="0" applyNumberFormat="1" applyFont="1" applyFill="1" applyBorder="1" applyProtection="1">
      <protection hidden="1"/>
    </xf>
    <xf numFmtId="4" fontId="4" fillId="3" borderId="37" xfId="0" applyNumberFormat="1" applyFont="1" applyFill="1" applyBorder="1" applyAlignment="1" applyProtection="1">
      <alignment horizontal="left"/>
      <protection hidden="1"/>
    </xf>
    <xf numFmtId="43" fontId="4" fillId="3" borderId="37" xfId="0" applyNumberFormat="1" applyFont="1" applyFill="1" applyBorder="1" applyAlignment="1" applyProtection="1">
      <alignment horizontal="center"/>
      <protection hidden="1"/>
    </xf>
    <xf numFmtId="165" fontId="4" fillId="3" borderId="39" xfId="0" applyNumberFormat="1" applyFont="1" applyFill="1" applyBorder="1" applyAlignment="1" applyProtection="1">
      <alignment horizontal="center" vertical="center"/>
      <protection hidden="1"/>
    </xf>
    <xf numFmtId="43" fontId="4" fillId="3" borderId="41" xfId="0" applyNumberFormat="1" applyFont="1" applyFill="1" applyBorder="1" applyAlignment="1" applyProtection="1">
      <alignment horizontal="center"/>
      <protection hidden="1"/>
    </xf>
    <xf numFmtId="43" fontId="4" fillId="3" borderId="42" xfId="0" applyNumberFormat="1" applyFont="1" applyFill="1" applyBorder="1" applyAlignment="1" applyProtection="1">
      <alignment horizontal="center"/>
      <protection hidden="1"/>
    </xf>
    <xf numFmtId="4" fontId="4" fillId="3" borderId="43" xfId="0" applyNumberFormat="1" applyFont="1" applyFill="1" applyBorder="1" applyProtection="1">
      <protection hidden="1"/>
    </xf>
    <xf numFmtId="4" fontId="4" fillId="3" borderId="44" xfId="0" applyNumberFormat="1" applyFont="1" applyFill="1" applyBorder="1" applyAlignment="1" applyProtection="1">
      <alignment horizontal="left"/>
      <protection hidden="1"/>
    </xf>
    <xf numFmtId="9" fontId="4" fillId="4" borderId="43" xfId="2" applyFont="1" applyFill="1" applyBorder="1" applyAlignment="1" applyProtection="1">
      <alignment horizontal="center" vertical="center"/>
      <protection hidden="1"/>
    </xf>
    <xf numFmtId="43" fontId="4" fillId="4" borderId="44" xfId="0" applyNumberFormat="1" applyFont="1" applyFill="1" applyBorder="1" applyAlignment="1" applyProtection="1">
      <alignment horizontal="center" vertical="center"/>
      <protection hidden="1"/>
    </xf>
    <xf numFmtId="9" fontId="4" fillId="4" borderId="44" xfId="2" applyFont="1" applyFill="1" applyBorder="1" applyAlignment="1" applyProtection="1">
      <alignment horizontal="center" vertical="center"/>
      <protection hidden="1"/>
    </xf>
    <xf numFmtId="43" fontId="4" fillId="4" borderId="45" xfId="0" applyNumberFormat="1" applyFont="1" applyFill="1" applyBorder="1" applyAlignment="1" applyProtection="1">
      <alignment horizontal="center" vertical="center"/>
      <protection hidden="1"/>
    </xf>
    <xf numFmtId="4" fontId="4" fillId="3" borderId="46" xfId="0" applyNumberFormat="1" applyFont="1" applyFill="1" applyBorder="1" applyProtection="1">
      <protection hidden="1"/>
    </xf>
    <xf numFmtId="4" fontId="4" fillId="3" borderId="47" xfId="0" applyNumberFormat="1" applyFont="1" applyFill="1" applyBorder="1" applyAlignment="1" applyProtection="1">
      <alignment horizontal="left"/>
      <protection hidden="1"/>
    </xf>
    <xf numFmtId="9" fontId="4" fillId="3" borderId="37" xfId="2" applyFont="1" applyFill="1" applyBorder="1" applyAlignment="1" applyProtection="1">
      <alignment horizontal="center"/>
      <protection hidden="1"/>
    </xf>
    <xf numFmtId="43" fontId="4" fillId="3" borderId="39" xfId="0" applyNumberFormat="1" applyFont="1" applyFill="1" applyBorder="1" applyAlignment="1" applyProtection="1">
      <alignment horizontal="center"/>
      <protection hidden="1"/>
    </xf>
    <xf numFmtId="44" fontId="5" fillId="2" borderId="41" xfId="1" applyFont="1" applyFill="1" applyBorder="1"/>
    <xf numFmtId="10" fontId="5" fillId="2" borderId="41" xfId="1" applyNumberFormat="1" applyFont="1" applyFill="1" applyBorder="1"/>
    <xf numFmtId="44" fontId="5" fillId="2" borderId="42" xfId="1" applyFont="1" applyFill="1" applyBorder="1"/>
    <xf numFmtId="0" fontId="2" fillId="0" borderId="46" xfId="0" applyFont="1" applyBorder="1" applyAlignment="1">
      <alignment horizontal="center" vertical="center"/>
    </xf>
    <xf numFmtId="44" fontId="2" fillId="2" borderId="41" xfId="1" applyFont="1" applyFill="1" applyBorder="1"/>
    <xf numFmtId="9" fontId="2" fillId="2" borderId="41" xfId="2" applyFont="1" applyFill="1" applyBorder="1"/>
    <xf numFmtId="165" fontId="2" fillId="2" borderId="42" xfId="0" applyNumberFormat="1" applyFont="1" applyFill="1" applyBorder="1"/>
    <xf numFmtId="0" fontId="2" fillId="0" borderId="46" xfId="0" applyFont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center" indent="2"/>
    </xf>
    <xf numFmtId="44" fontId="2" fillId="2" borderId="55" xfId="1" applyFont="1" applyFill="1" applyBorder="1"/>
    <xf numFmtId="9" fontId="2" fillId="2" borderId="55" xfId="2" applyFont="1" applyFill="1" applyBorder="1"/>
    <xf numFmtId="0" fontId="2" fillId="0" borderId="57" xfId="0" applyFont="1" applyBorder="1" applyAlignment="1">
      <alignment horizontal="center" vertical="center"/>
    </xf>
    <xf numFmtId="165" fontId="2" fillId="0" borderId="59" xfId="0" applyNumberFormat="1" applyFont="1" applyBorder="1" applyAlignment="1">
      <alignment horizontal="center" vertical="center"/>
    </xf>
    <xf numFmtId="44" fontId="2" fillId="2" borderId="44" xfId="1" applyFont="1" applyFill="1" applyBorder="1"/>
    <xf numFmtId="9" fontId="2" fillId="2" borderId="44" xfId="2" applyFont="1" applyFill="1" applyBorder="1"/>
    <xf numFmtId="165" fontId="2" fillId="2" borderId="45" xfId="0" applyNumberFormat="1" applyFont="1" applyFill="1" applyBorder="1"/>
    <xf numFmtId="43" fontId="4" fillId="3" borderId="37" xfId="0" applyNumberFormat="1" applyFont="1" applyFill="1" applyBorder="1" applyAlignment="1" applyProtection="1">
      <alignment horizontal="center" vertical="center"/>
      <protection hidden="1"/>
    </xf>
    <xf numFmtId="43" fontId="4" fillId="3" borderId="38" xfId="0" applyNumberFormat="1" applyFont="1" applyFill="1" applyBorder="1" applyAlignment="1" applyProtection="1">
      <alignment horizontal="center" vertical="center"/>
      <protection hidden="1"/>
    </xf>
    <xf numFmtId="0" fontId="5" fillId="5" borderId="46" xfId="0" applyFont="1" applyFill="1" applyBorder="1" applyAlignment="1">
      <alignment horizontal="center"/>
    </xf>
    <xf numFmtId="0" fontId="6" fillId="5" borderId="50" xfId="0" applyFont="1" applyFill="1" applyBorder="1" applyAlignment="1">
      <alignment horizontal="left" vertical="center"/>
    </xf>
    <xf numFmtId="43" fontId="4" fillId="3" borderId="40" xfId="0" applyNumberFormat="1" applyFont="1" applyFill="1" applyBorder="1" applyAlignment="1" applyProtection="1">
      <alignment horizontal="center" vertical="center"/>
      <protection hidden="1"/>
    </xf>
    <xf numFmtId="9" fontId="4" fillId="3" borderId="36" xfId="2" applyFont="1" applyFill="1" applyBorder="1" applyAlignment="1" applyProtection="1">
      <alignment horizontal="center" vertical="center"/>
      <protection hidden="1"/>
    </xf>
    <xf numFmtId="10" fontId="5" fillId="2" borderId="40" xfId="2" applyNumberFormat="1" applyFont="1" applyFill="1" applyBorder="1" applyAlignment="1">
      <alignment horizontal="center" vertical="center"/>
    </xf>
    <xf numFmtId="9" fontId="2" fillId="2" borderId="40" xfId="2" applyFont="1" applyFill="1" applyBorder="1" applyAlignment="1">
      <alignment horizontal="center" vertical="center"/>
    </xf>
    <xf numFmtId="2" fontId="4" fillId="3" borderId="30" xfId="0" applyNumberFormat="1" applyFont="1" applyFill="1" applyBorder="1" applyAlignment="1" applyProtection="1">
      <alignment horizontal="center" vertical="center"/>
      <protection hidden="1"/>
    </xf>
    <xf numFmtId="2" fontId="4" fillId="3" borderId="37" xfId="0" applyNumberFormat="1" applyFont="1" applyFill="1" applyBorder="1" applyAlignment="1" applyProtection="1">
      <alignment horizontal="center" vertical="center"/>
      <protection hidden="1"/>
    </xf>
    <xf numFmtId="2" fontId="4" fillId="3" borderId="44" xfId="0" applyNumberFormat="1" applyFont="1" applyFill="1" applyBorder="1" applyAlignment="1" applyProtection="1">
      <alignment horizontal="center" vertical="center"/>
      <protection hidden="1"/>
    </xf>
    <xf numFmtId="43" fontId="4" fillId="3" borderId="44" xfId="0" applyNumberFormat="1" applyFont="1" applyFill="1" applyBorder="1" applyAlignment="1" applyProtection="1">
      <alignment horizontal="center" vertical="center"/>
      <protection hidden="1"/>
    </xf>
    <xf numFmtId="2" fontId="4" fillId="3" borderId="47" xfId="0" applyNumberFormat="1" applyFont="1" applyFill="1" applyBorder="1" applyAlignment="1" applyProtection="1">
      <alignment horizontal="center" vertical="center"/>
      <protection hidden="1"/>
    </xf>
    <xf numFmtId="43" fontId="4" fillId="3" borderId="47" xfId="0" applyNumberFormat="1" applyFont="1" applyFill="1" applyBorder="1" applyAlignment="1" applyProtection="1">
      <alignment horizontal="center" vertical="center"/>
      <protection hidden="1"/>
    </xf>
    <xf numFmtId="165" fontId="4" fillId="3" borderId="49" xfId="0" applyNumberFormat="1" applyFont="1" applyFill="1" applyBorder="1" applyAlignment="1" applyProtection="1">
      <alignment horizontal="center" vertical="center"/>
      <protection hidden="1"/>
    </xf>
    <xf numFmtId="0" fontId="7" fillId="5" borderId="51" xfId="0" applyFont="1" applyFill="1" applyBorder="1" applyAlignment="1">
      <alignment horizontal="center" vertical="center"/>
    </xf>
    <xf numFmtId="164" fontId="7" fillId="5" borderId="51" xfId="0" applyNumberFormat="1" applyFont="1" applyFill="1" applyBorder="1" applyAlignment="1">
      <alignment horizontal="center" vertical="center"/>
    </xf>
    <xf numFmtId="165" fontId="5" fillId="5" borderId="52" xfId="0" applyNumberFormat="1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164" fontId="7" fillId="2" borderId="53" xfId="0" applyNumberFormat="1" applyFont="1" applyFill="1" applyBorder="1" applyAlignment="1">
      <alignment horizontal="center" vertical="center"/>
    </xf>
    <xf numFmtId="165" fontId="5" fillId="2" borderId="52" xfId="0" applyNumberFormat="1" applyFont="1" applyFill="1" applyBorder="1" applyAlignment="1">
      <alignment horizontal="center" vertical="center"/>
    </xf>
    <xf numFmtId="43" fontId="4" fillId="3" borderId="48" xfId="0" applyNumberFormat="1" applyFont="1" applyFill="1" applyBorder="1" applyAlignment="1" applyProtection="1">
      <alignment horizontal="center" vertical="center"/>
      <protection hidden="1"/>
    </xf>
    <xf numFmtId="166" fontId="7" fillId="5" borderId="50" xfId="0" applyNumberFormat="1" applyFont="1" applyFill="1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 wrapText="1"/>
    </xf>
    <xf numFmtId="167" fontId="2" fillId="0" borderId="54" xfId="0" applyNumberFormat="1" applyFont="1" applyBorder="1" applyAlignment="1">
      <alignment horizontal="center" vertical="center" wrapText="1"/>
    </xf>
    <xf numFmtId="167" fontId="2" fillId="0" borderId="58" xfId="0" applyNumberFormat="1" applyFont="1" applyBorder="1" applyAlignment="1">
      <alignment horizontal="center" vertical="center"/>
    </xf>
    <xf numFmtId="9" fontId="2" fillId="0" borderId="43" xfId="2" applyFont="1" applyBorder="1" applyAlignment="1">
      <alignment horizontal="center" vertical="center"/>
    </xf>
    <xf numFmtId="9" fontId="9" fillId="6" borderId="68" xfId="2" applyFont="1" applyFill="1" applyBorder="1" applyAlignment="1">
      <alignment horizontal="center" vertical="center"/>
    </xf>
    <xf numFmtId="44" fontId="9" fillId="6" borderId="69" xfId="1" applyFont="1" applyFill="1" applyBorder="1"/>
    <xf numFmtId="165" fontId="9" fillId="6" borderId="70" xfId="1" applyNumberFormat="1" applyFont="1" applyFill="1" applyBorder="1"/>
    <xf numFmtId="44" fontId="9" fillId="6" borderId="71" xfId="1" applyFont="1" applyFill="1" applyBorder="1"/>
    <xf numFmtId="10" fontId="9" fillId="6" borderId="69" xfId="2" applyNumberFormat="1" applyFont="1" applyFill="1" applyBorder="1"/>
    <xf numFmtId="164" fontId="2" fillId="0" borderId="47" xfId="0" applyNumberFormat="1" applyFont="1" applyBorder="1" applyAlignment="1">
      <alignment horizontal="center" vertical="center" wrapText="1"/>
    </xf>
    <xf numFmtId="164" fontId="2" fillId="0" borderId="58" xfId="0" applyNumberFormat="1" applyFont="1" applyBorder="1" applyAlignment="1">
      <alignment horizontal="center" vertical="center"/>
    </xf>
    <xf numFmtId="0" fontId="2" fillId="2" borderId="40" xfId="2" applyNumberFormat="1" applyFont="1" applyFill="1" applyBorder="1" applyAlignment="1">
      <alignment horizontal="center" vertical="center"/>
    </xf>
    <xf numFmtId="0" fontId="2" fillId="0" borderId="53" xfId="0" applyFont="1" applyBorder="1" applyAlignment="1">
      <alignment horizontal="left" vertical="center" indent="2"/>
    </xf>
    <xf numFmtId="0" fontId="2" fillId="0" borderId="41" xfId="0" applyFont="1" applyBorder="1" applyAlignment="1">
      <alignment horizontal="left" vertical="center" indent="2"/>
    </xf>
    <xf numFmtId="166" fontId="7" fillId="2" borderId="47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164" fontId="2" fillId="0" borderId="41" xfId="0" applyNumberFormat="1" applyFont="1" applyBorder="1" applyAlignment="1">
      <alignment horizontal="center" vertical="center"/>
    </xf>
    <xf numFmtId="9" fontId="2" fillId="0" borderId="41" xfId="2" applyFont="1" applyBorder="1" applyAlignment="1">
      <alignment horizontal="center" vertical="center"/>
    </xf>
    <xf numFmtId="44" fontId="2" fillId="0" borderId="41" xfId="1" applyFont="1" applyBorder="1" applyAlignment="1">
      <alignment horizontal="center" vertical="center"/>
    </xf>
    <xf numFmtId="167" fontId="2" fillId="0" borderId="41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horizontal="left" vertical="center" indent="2"/>
    </xf>
    <xf numFmtId="0" fontId="2" fillId="0" borderId="58" xfId="0" applyFont="1" applyBorder="1" applyAlignment="1">
      <alignment horizontal="center" vertical="center"/>
    </xf>
    <xf numFmtId="44" fontId="2" fillId="2" borderId="42" xfId="1" applyFont="1" applyFill="1" applyBorder="1"/>
    <xf numFmtId="44" fontId="4" fillId="4" borderId="45" xfId="1" applyFont="1" applyFill="1" applyBorder="1" applyAlignment="1" applyProtection="1">
      <alignment horizontal="center" vertical="center"/>
      <protection hidden="1"/>
    </xf>
    <xf numFmtId="44" fontId="4" fillId="3" borderId="39" xfId="1" applyFont="1" applyFill="1" applyBorder="1" applyAlignment="1" applyProtection="1">
      <alignment horizontal="center"/>
      <protection hidden="1"/>
    </xf>
    <xf numFmtId="44" fontId="9" fillId="6" borderId="70" xfId="1" applyFont="1" applyFill="1" applyBorder="1"/>
    <xf numFmtId="2" fontId="4" fillId="8" borderId="37" xfId="0" applyNumberFormat="1" applyFont="1" applyFill="1" applyBorder="1" applyAlignment="1" applyProtection="1">
      <alignment horizontal="center" vertical="center"/>
      <protection hidden="1"/>
    </xf>
    <xf numFmtId="167" fontId="2" fillId="9" borderId="58" xfId="0" applyNumberFormat="1" applyFont="1" applyFill="1" applyBorder="1" applyAlignment="1">
      <alignment horizontal="center" vertical="center"/>
    </xf>
    <xf numFmtId="165" fontId="2" fillId="9" borderId="59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left" vertical="center"/>
    </xf>
    <xf numFmtId="168" fontId="11" fillId="2" borderId="0" xfId="0" applyNumberFormat="1" applyFont="1" applyFill="1"/>
    <xf numFmtId="0" fontId="11" fillId="2" borderId="7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vertical="center"/>
    </xf>
    <xf numFmtId="165" fontId="5" fillId="2" borderId="0" xfId="0" applyNumberFormat="1" applyFont="1" applyFill="1" applyAlignment="1">
      <alignment vertical="center"/>
    </xf>
    <xf numFmtId="165" fontId="5" fillId="2" borderId="11" xfId="0" applyNumberFormat="1" applyFont="1" applyFill="1" applyBorder="1" applyAlignment="1">
      <alignment vertical="center"/>
    </xf>
    <xf numFmtId="14" fontId="13" fillId="2" borderId="9" xfId="2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0" fontId="11" fillId="0" borderId="22" xfId="2" applyNumberFormat="1" applyFont="1" applyBorder="1" applyAlignment="1">
      <alignment vertical="center"/>
    </xf>
    <xf numFmtId="44" fontId="11" fillId="0" borderId="23" xfId="1" applyFont="1" applyBorder="1" applyAlignment="1">
      <alignment vertical="center"/>
    </xf>
    <xf numFmtId="0" fontId="11" fillId="0" borderId="0" xfId="0" applyFont="1"/>
    <xf numFmtId="165" fontId="9" fillId="0" borderId="24" xfId="1" applyNumberFormat="1" applyFont="1" applyBorder="1" applyAlignment="1">
      <alignment horizontal="center" vertical="center"/>
    </xf>
    <xf numFmtId="44" fontId="11" fillId="0" borderId="23" xfId="0" applyNumberFormat="1" applyFont="1" applyBorder="1" applyAlignment="1">
      <alignment vertical="center"/>
    </xf>
    <xf numFmtId="165" fontId="9" fillId="0" borderId="28" xfId="0" applyNumberFormat="1" applyFont="1" applyBorder="1" applyAlignment="1">
      <alignment horizontal="center" vertical="center"/>
    </xf>
    <xf numFmtId="10" fontId="11" fillId="0" borderId="27" xfId="2" applyNumberFormat="1" applyFont="1" applyBorder="1" applyAlignment="1">
      <alignment vertical="center"/>
    </xf>
    <xf numFmtId="44" fontId="11" fillId="0" borderId="28" xfId="1" applyFont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0" fontId="18" fillId="2" borderId="0" xfId="0" applyFont="1" applyFill="1"/>
    <xf numFmtId="0" fontId="18" fillId="2" borderId="9" xfId="0" applyFont="1" applyFill="1" applyBorder="1"/>
    <xf numFmtId="44" fontId="11" fillId="2" borderId="0" xfId="1" applyFont="1" applyFill="1"/>
    <xf numFmtId="0" fontId="11" fillId="2" borderId="1" xfId="0" applyFont="1" applyFill="1" applyBorder="1" applyAlignment="1">
      <alignment vertical="top"/>
    </xf>
    <xf numFmtId="0" fontId="11" fillId="2" borderId="2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7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2" borderId="13" xfId="0" applyFont="1" applyFill="1" applyBorder="1" applyAlignment="1">
      <alignment vertical="top"/>
    </xf>
    <xf numFmtId="0" fontId="11" fillId="2" borderId="14" xfId="0" applyFont="1" applyFill="1" applyBorder="1" applyAlignment="1">
      <alignment vertical="top"/>
    </xf>
    <xf numFmtId="0" fontId="11" fillId="2" borderId="60" xfId="0" applyFont="1" applyFill="1" applyBorder="1"/>
    <xf numFmtId="0" fontId="11" fillId="2" borderId="61" xfId="0" applyFont="1" applyFill="1" applyBorder="1"/>
    <xf numFmtId="0" fontId="11" fillId="2" borderId="61" xfId="0" applyFont="1" applyFill="1" applyBorder="1" applyAlignment="1">
      <alignment horizontal="center"/>
    </xf>
    <xf numFmtId="0" fontId="11" fillId="2" borderId="61" xfId="0" applyFont="1" applyFill="1" applyBorder="1" applyAlignment="1">
      <alignment horizontal="left"/>
    </xf>
    <xf numFmtId="0" fontId="11" fillId="2" borderId="56" xfId="0" applyFont="1" applyFill="1" applyBorder="1" applyAlignment="1">
      <alignment horizontal="center"/>
    </xf>
    <xf numFmtId="0" fontId="11" fillId="2" borderId="56" xfId="0" applyFont="1" applyFill="1" applyBorder="1"/>
    <xf numFmtId="0" fontId="11" fillId="2" borderId="48" xfId="0" applyFont="1" applyFill="1" applyBorder="1"/>
    <xf numFmtId="0" fontId="11" fillId="2" borderId="62" xfId="0" applyFont="1" applyFill="1" applyBorder="1"/>
    <xf numFmtId="0" fontId="11" fillId="2" borderId="64" xfId="0" applyFont="1" applyFill="1" applyBorder="1" applyAlignment="1">
      <alignment horizontal="center"/>
    </xf>
    <xf numFmtId="0" fontId="11" fillId="2" borderId="67" xfId="0" applyFont="1" applyFill="1" applyBorder="1"/>
    <xf numFmtId="0" fontId="11" fillId="2" borderId="63" xfId="0" applyFont="1" applyFill="1" applyBorder="1"/>
    <xf numFmtId="0" fontId="11" fillId="2" borderId="64" xfId="0" applyFont="1" applyFill="1" applyBorder="1"/>
    <xf numFmtId="0" fontId="11" fillId="2" borderId="38" xfId="0" applyFont="1" applyFill="1" applyBorder="1"/>
    <xf numFmtId="0" fontId="11" fillId="2" borderId="65" xfId="0" applyFont="1" applyFill="1" applyBorder="1"/>
    <xf numFmtId="0" fontId="11" fillId="2" borderId="65" xfId="0" applyFont="1" applyFill="1" applyBorder="1" applyAlignment="1">
      <alignment horizontal="center"/>
    </xf>
    <xf numFmtId="0" fontId="11" fillId="2" borderId="65" xfId="0" applyFont="1" applyFill="1" applyBorder="1" applyAlignment="1">
      <alignment horizontal="left"/>
    </xf>
    <xf numFmtId="0" fontId="11" fillId="2" borderId="66" xfId="0" applyFont="1" applyFill="1" applyBorder="1" applyAlignment="1">
      <alignment horizontal="center"/>
    </xf>
    <xf numFmtId="0" fontId="11" fillId="2" borderId="66" xfId="0" applyFont="1" applyFill="1" applyBorder="1"/>
    <xf numFmtId="0" fontId="5" fillId="5" borderId="76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65" fontId="5" fillId="5" borderId="81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7" fillId="0" borderId="78" xfId="0" applyFont="1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165" fontId="4" fillId="3" borderId="80" xfId="0" applyNumberFormat="1" applyFont="1" applyFill="1" applyBorder="1" applyAlignment="1" applyProtection="1">
      <alignment horizontal="center"/>
      <protection hidden="1"/>
    </xf>
    <xf numFmtId="0" fontId="0" fillId="0" borderId="35" xfId="0" applyBorder="1" applyProtection="1">
      <protection hidden="1"/>
    </xf>
    <xf numFmtId="0" fontId="5" fillId="0" borderId="77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43" fontId="4" fillId="3" borderId="79" xfId="0" applyNumberFormat="1" applyFont="1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5" fillId="5" borderId="82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12" fillId="2" borderId="73" xfId="0" applyFont="1" applyFill="1" applyBorder="1" applyAlignment="1">
      <alignment horizontal="center" vertical="center"/>
    </xf>
    <xf numFmtId="0" fontId="0" fillId="0" borderId="73" xfId="0" applyBorder="1"/>
    <xf numFmtId="0" fontId="0" fillId="0" borderId="74" xfId="0" applyBorder="1"/>
    <xf numFmtId="0" fontId="11" fillId="0" borderId="78" xfId="0" applyFont="1" applyBorder="1" applyAlignment="1">
      <alignment horizontal="left" vertical="center"/>
    </xf>
    <xf numFmtId="0" fontId="11" fillId="0" borderId="83" xfId="0" applyFont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2" fontId="10" fillId="7" borderId="30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0" fillId="0" borderId="72" xfId="0" applyBorder="1" applyProtection="1">
      <protection hidden="1"/>
    </xf>
    <xf numFmtId="0" fontId="14" fillId="2" borderId="75" xfId="0" applyFont="1" applyFill="1" applyBorder="1" applyAlignment="1">
      <alignment horizontal="center" vertical="center" wrapText="1"/>
    </xf>
    <xf numFmtId="0" fontId="0" fillId="0" borderId="75" xfId="0" applyBorder="1"/>
    <xf numFmtId="0" fontId="14" fillId="2" borderId="74" xfId="0" applyFont="1" applyFill="1" applyBorder="1" applyAlignment="1">
      <alignment horizontal="center" vertical="center"/>
    </xf>
    <xf numFmtId="43" fontId="4" fillId="3" borderId="31" xfId="0" applyNumberFormat="1" applyFont="1" applyFill="1" applyBorder="1" applyAlignment="1" applyProtection="1">
      <alignment horizontal="center" vertical="center"/>
      <protection hidden="1"/>
    </xf>
    <xf numFmtId="0" fontId="17" fillId="0" borderId="83" xfId="0" applyFont="1" applyBorder="1" applyAlignment="1">
      <alignment horizontal="left" vertical="center"/>
    </xf>
    <xf numFmtId="0" fontId="5" fillId="5" borderId="84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6" fillId="0" borderId="81" xfId="0" applyFont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1" xfId="0" applyBorder="1"/>
    <xf numFmtId="0" fontId="0" fillId="0" borderId="85" xfId="0" applyBorder="1"/>
    <xf numFmtId="0" fontId="13" fillId="2" borderId="86" xfId="0" applyFont="1" applyFill="1" applyBorder="1" applyAlignment="1">
      <alignment horizontal="center" vertical="center"/>
    </xf>
    <xf numFmtId="0" fontId="11" fillId="2" borderId="0" xfId="0" applyFont="1" applyFill="1" applyBorder="1"/>
    <xf numFmtId="0" fontId="11" fillId="2" borderId="0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Normal 2" xfId="3" xr:uid="{00000000-0005-0000-0000-000003000000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112059</xdr:colOff>
      <xdr:row>1</xdr:row>
      <xdr:rowOff>92848</xdr:rowOff>
    </xdr:from>
    <xdr:to>
      <xdr:col>11</xdr:col>
      <xdr:colOff>1030940</xdr:colOff>
      <xdr:row>5</xdr:row>
      <xdr:rowOff>170937</xdr:rowOff>
    </xdr:to>
    <xdr:pic>
      <xdr:nvPicPr>
        <xdr:cNvPr id="5" name="Imagem 4" descr="Tse_1 (6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883088" y="249730"/>
          <a:ext cx="1535205" cy="87370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</xdr:col>
      <xdr:colOff>56031</xdr:colOff>
      <xdr:row>1</xdr:row>
      <xdr:rowOff>89647</xdr:rowOff>
    </xdr:from>
    <xdr:to>
      <xdr:col>2</xdr:col>
      <xdr:colOff>1373386</xdr:colOff>
      <xdr:row>5</xdr:row>
      <xdr:rowOff>179294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E2C162-77AB-2251-2FE0-67CA6D1D1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913" y="246529"/>
          <a:ext cx="1788002" cy="885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F39"/>
  <sheetViews>
    <sheetView tabSelected="1" view="pageBreakPreview" zoomScale="85" zoomScaleNormal="85" zoomScaleSheetLayoutView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9.140625" defaultRowHeight="14.25" outlineLevelRow="1" outlineLevelCol="1" x14ac:dyDescent="0.2"/>
  <cols>
    <col min="1" max="1" width="2.28515625" style="96" customWidth="1"/>
    <col min="2" max="2" width="7" style="96" customWidth="1"/>
    <col min="3" max="3" width="67.7109375" style="96" customWidth="1"/>
    <col min="4" max="4" width="9.42578125" style="96" bestFit="1" customWidth="1"/>
    <col min="5" max="5" width="9.28515625" style="97" customWidth="1"/>
    <col min="6" max="11" width="15" style="96" hidden="1" customWidth="1"/>
    <col min="12" max="12" width="16.28515625" style="98" customWidth="1"/>
    <col min="13" max="13" width="18.7109375" style="98" bestFit="1" customWidth="1"/>
    <col min="14" max="14" width="21.7109375" style="97" customWidth="1"/>
    <col min="15" max="16" width="2.7109375" style="96" hidden="1" customWidth="1" outlineLevel="1"/>
    <col min="17" max="17" width="10.5703125" style="96" hidden="1" customWidth="1" outlineLevel="1"/>
    <col min="18" max="18" width="15.7109375" style="96" hidden="1" customWidth="1" outlineLevel="1"/>
    <col min="19" max="19" width="11.42578125" style="96" hidden="1" customWidth="1" outlineLevel="1"/>
    <col min="20" max="20" width="18.7109375" style="96" hidden="1" customWidth="1" outlineLevel="1"/>
    <col min="21" max="21" width="11.42578125" style="96" hidden="1" customWidth="1" outlineLevel="1"/>
    <col min="22" max="22" width="15.5703125" style="96" hidden="1" customWidth="1" outlineLevel="1"/>
    <col min="23" max="23" width="2.7109375" style="96" customWidth="1" collapsed="1"/>
    <col min="24" max="24" width="2.7109375" style="96" customWidth="1" outlineLevel="1"/>
    <col min="25" max="25" width="10.5703125" style="96" customWidth="1" outlineLevel="1"/>
    <col min="26" max="26" width="15.7109375" style="96" customWidth="1" outlineLevel="1"/>
    <col min="27" max="27" width="9" style="96" customWidth="1" outlineLevel="1"/>
    <col min="28" max="28" width="18.7109375" style="96" customWidth="1" outlineLevel="1"/>
    <col min="29" max="29" width="9" style="96" customWidth="1" outlineLevel="1"/>
    <col min="30" max="30" width="17" style="96" customWidth="1" outlineLevel="1"/>
    <col min="31" max="31" width="2.7109375" style="96" customWidth="1"/>
    <col min="32" max="32" width="2.7109375" style="96" hidden="1" customWidth="1" outlineLevel="1"/>
    <col min="33" max="33" width="10.5703125" style="96" hidden="1" customWidth="1" outlineLevel="1"/>
    <col min="34" max="34" width="15.7109375" style="96" hidden="1" customWidth="1" outlineLevel="1"/>
    <col min="35" max="35" width="9" style="96" hidden="1" customWidth="1" outlineLevel="1"/>
    <col min="36" max="36" width="18.7109375" style="96" hidden="1" customWidth="1" outlineLevel="1"/>
    <col min="37" max="37" width="11.28515625" style="96" hidden="1" customWidth="1" outlineLevel="1"/>
    <col min="38" max="38" width="15" style="96" hidden="1" customWidth="1" outlineLevel="1"/>
    <col min="39" max="39" width="9.140625" style="96" collapsed="1"/>
    <col min="40" max="16384" width="9.140625" style="96"/>
  </cols>
  <sheetData>
    <row r="1" spans="1:84" ht="13.15" customHeight="1" thickBot="1" x14ac:dyDescent="0.25"/>
    <row r="2" spans="1:84" ht="15" customHeight="1" thickTop="1" thickBot="1" x14ac:dyDescent="0.3">
      <c r="B2" s="199"/>
      <c r="C2" s="177" t="s">
        <v>0</v>
      </c>
      <c r="D2" s="200"/>
      <c r="E2" s="200"/>
      <c r="F2" s="200"/>
      <c r="G2" s="200"/>
      <c r="H2" s="200"/>
      <c r="I2" s="200"/>
      <c r="J2" s="200"/>
      <c r="K2" s="200"/>
      <c r="L2" s="178"/>
      <c r="M2" s="99" t="s">
        <v>1</v>
      </c>
      <c r="N2" s="201">
        <v>1</v>
      </c>
      <c r="Q2" s="160" t="s">
        <v>2</v>
      </c>
      <c r="R2" s="161"/>
      <c r="S2" s="161"/>
      <c r="T2" s="161"/>
      <c r="U2" s="161"/>
      <c r="V2" s="162"/>
      <c r="Y2" s="160" t="s">
        <v>2</v>
      </c>
      <c r="Z2" s="161"/>
      <c r="AA2" s="161"/>
      <c r="AB2" s="161"/>
      <c r="AC2" s="161"/>
      <c r="AD2" s="162"/>
      <c r="AG2" s="160" t="s">
        <v>2</v>
      </c>
      <c r="AH2" s="161"/>
      <c r="AI2" s="161"/>
      <c r="AJ2" s="161"/>
      <c r="AK2" s="161"/>
      <c r="AL2" s="162"/>
      <c r="BD2" s="100"/>
      <c r="BK2" s="100"/>
      <c r="BR2" s="100"/>
      <c r="BY2" s="100"/>
      <c r="CF2" s="100"/>
    </row>
    <row r="3" spans="1:84" ht="15" customHeight="1" thickTop="1" thickBot="1" x14ac:dyDescent="0.25">
      <c r="B3" s="101"/>
      <c r="C3" s="202"/>
      <c r="D3" s="202"/>
      <c r="E3" s="203"/>
      <c r="F3" s="202"/>
      <c r="G3" s="202"/>
      <c r="H3" s="202"/>
      <c r="I3" s="202"/>
      <c r="J3" s="202"/>
      <c r="K3" s="202"/>
      <c r="L3" s="179"/>
      <c r="M3" s="102" t="s">
        <v>3</v>
      </c>
      <c r="N3" s="103" t="s">
        <v>4</v>
      </c>
      <c r="Q3" s="104"/>
      <c r="R3" s="105"/>
      <c r="S3" s="105"/>
      <c r="T3" s="105"/>
      <c r="U3" s="105"/>
      <c r="V3" s="106"/>
      <c r="Y3" s="104"/>
      <c r="Z3" s="105"/>
      <c r="AA3" s="105"/>
      <c r="AB3" s="105"/>
      <c r="AC3" s="105"/>
      <c r="AD3" s="106"/>
      <c r="AG3" s="104"/>
      <c r="AH3" s="105"/>
      <c r="AI3" s="105"/>
      <c r="AJ3" s="105"/>
      <c r="AK3" s="105"/>
      <c r="AL3" s="106"/>
      <c r="BD3" s="100"/>
      <c r="BK3" s="100"/>
      <c r="BR3" s="100"/>
      <c r="BY3" s="100"/>
      <c r="CF3" s="100"/>
    </row>
    <row r="4" spans="1:84" ht="15" customHeight="1" thickTop="1" x14ac:dyDescent="0.25">
      <c r="B4" s="101"/>
      <c r="C4" s="189" t="s">
        <v>5</v>
      </c>
      <c r="D4" s="202"/>
      <c r="E4" s="203"/>
      <c r="F4" s="202"/>
      <c r="G4" s="202"/>
      <c r="H4" s="202"/>
      <c r="I4" s="202"/>
      <c r="J4" s="202"/>
      <c r="K4" s="202"/>
      <c r="L4" s="179"/>
      <c r="M4" s="102" t="s">
        <v>6</v>
      </c>
      <c r="N4" s="107">
        <f ca="1">TODAY()</f>
        <v>46198</v>
      </c>
      <c r="Q4" s="174" t="s">
        <v>7</v>
      </c>
      <c r="R4" s="175"/>
      <c r="S4" s="175"/>
      <c r="T4" s="175"/>
      <c r="U4" s="175"/>
      <c r="V4" s="176"/>
      <c r="Y4" s="174" t="s">
        <v>8</v>
      </c>
      <c r="Z4" s="175"/>
      <c r="AA4" s="175"/>
      <c r="AB4" s="175"/>
      <c r="AC4" s="175"/>
      <c r="AD4" s="176"/>
      <c r="AG4" s="174" t="s">
        <v>9</v>
      </c>
      <c r="AH4" s="175"/>
      <c r="AI4" s="175"/>
      <c r="AJ4" s="175"/>
      <c r="AK4" s="175"/>
      <c r="AL4" s="176"/>
      <c r="BD4" s="100"/>
      <c r="BK4" s="100"/>
      <c r="BR4" s="100"/>
      <c r="BY4" s="100"/>
      <c r="CF4" s="100"/>
    </row>
    <row r="5" spans="1:84" ht="18" customHeight="1" thickBot="1" x14ac:dyDescent="0.3">
      <c r="B5" s="101"/>
      <c r="C5" s="189"/>
      <c r="D5" s="202"/>
      <c r="E5" s="203"/>
      <c r="F5" s="202"/>
      <c r="G5" s="202"/>
      <c r="H5" s="202"/>
      <c r="I5" s="202"/>
      <c r="J5" s="202"/>
      <c r="K5" s="202"/>
      <c r="L5" s="179"/>
      <c r="M5" s="102" t="s">
        <v>10</v>
      </c>
      <c r="N5" s="103" t="s">
        <v>59</v>
      </c>
      <c r="Q5" s="157" t="s">
        <v>11</v>
      </c>
      <c r="R5" s="158"/>
      <c r="S5" s="158"/>
      <c r="T5" s="158"/>
      <c r="U5" s="158"/>
      <c r="V5" s="159"/>
      <c r="Y5" s="157" t="s">
        <v>12</v>
      </c>
      <c r="Z5" s="158"/>
      <c r="AA5" s="158"/>
      <c r="AB5" s="158"/>
      <c r="AC5" s="158"/>
      <c r="AD5" s="159"/>
      <c r="AG5" s="157"/>
      <c r="AH5" s="158"/>
      <c r="AI5" s="158"/>
      <c r="AJ5" s="158"/>
      <c r="AK5" s="158"/>
      <c r="AL5" s="159"/>
      <c r="BD5" s="100"/>
      <c r="BK5" s="100"/>
      <c r="BR5" s="100"/>
      <c r="BY5" s="100"/>
      <c r="CF5" s="100"/>
    </row>
    <row r="6" spans="1:84" ht="18" customHeight="1" thickTop="1" thickBot="1" x14ac:dyDescent="0.3">
      <c r="B6" s="108"/>
      <c r="C6" s="187"/>
      <c r="D6" s="158"/>
      <c r="E6" s="158"/>
      <c r="F6" s="158"/>
      <c r="G6" s="158"/>
      <c r="H6" s="158"/>
      <c r="I6" s="158"/>
      <c r="J6" s="158"/>
      <c r="K6" s="158"/>
      <c r="L6" s="188"/>
      <c r="M6" s="109" t="s">
        <v>13</v>
      </c>
      <c r="N6" s="110" t="s">
        <v>14</v>
      </c>
      <c r="Q6" s="168"/>
      <c r="R6" s="169"/>
      <c r="S6" s="169"/>
      <c r="T6" s="169"/>
      <c r="U6" s="169"/>
      <c r="V6" s="170"/>
      <c r="Y6" s="168"/>
      <c r="Z6" s="169"/>
      <c r="AA6" s="169"/>
      <c r="AB6" s="169"/>
      <c r="AC6" s="169"/>
      <c r="AD6" s="170"/>
      <c r="AG6" s="168"/>
      <c r="AH6" s="169"/>
      <c r="AI6" s="169"/>
      <c r="AJ6" s="169"/>
      <c r="AK6" s="169"/>
      <c r="AL6" s="170"/>
      <c r="BD6" s="100"/>
      <c r="BK6" s="100"/>
      <c r="BR6" s="100"/>
      <c r="BY6" s="100"/>
      <c r="CF6" s="100"/>
    </row>
    <row r="7" spans="1:84" ht="15" customHeight="1" thickTop="1" thickBot="1" x14ac:dyDescent="0.3">
      <c r="B7" s="111"/>
      <c r="C7" s="112"/>
      <c r="D7" s="113"/>
      <c r="E7" s="114"/>
      <c r="F7" s="115"/>
      <c r="G7" s="115"/>
      <c r="H7" s="115"/>
      <c r="I7" s="115"/>
      <c r="J7" s="115"/>
      <c r="K7" s="115"/>
      <c r="L7" s="116"/>
      <c r="M7" s="117"/>
      <c r="N7" s="114"/>
      <c r="Q7" s="174" t="s">
        <v>15</v>
      </c>
      <c r="R7" s="175"/>
      <c r="S7" s="175"/>
      <c r="T7" s="175"/>
      <c r="U7" s="175"/>
      <c r="V7" s="176"/>
      <c r="Y7" s="174" t="s">
        <v>15</v>
      </c>
      <c r="Z7" s="175"/>
      <c r="AA7" s="175"/>
      <c r="AB7" s="175"/>
      <c r="AC7" s="175"/>
      <c r="AD7" s="176"/>
      <c r="AG7" s="174" t="s">
        <v>15</v>
      </c>
      <c r="AH7" s="175"/>
      <c r="AI7" s="175"/>
      <c r="AJ7" s="175"/>
      <c r="AK7" s="175"/>
      <c r="AL7" s="176"/>
      <c r="BD7" s="100"/>
      <c r="BK7" s="100"/>
      <c r="BR7" s="100"/>
      <c r="BY7" s="100"/>
      <c r="CF7" s="100"/>
    </row>
    <row r="8" spans="1:84" s="120" customFormat="1" ht="15.75" customHeight="1" thickTop="1" thickBot="1" x14ac:dyDescent="0.3">
      <c r="A8" s="96"/>
      <c r="B8" s="195" t="s">
        <v>16</v>
      </c>
      <c r="C8" s="176"/>
      <c r="D8" s="192" t="s">
        <v>17</v>
      </c>
      <c r="E8" s="193"/>
      <c r="F8" s="193"/>
      <c r="G8" s="193"/>
      <c r="H8" s="193"/>
      <c r="I8" s="193"/>
      <c r="J8" s="193"/>
      <c r="K8" s="193"/>
      <c r="L8" s="193"/>
      <c r="M8" s="193"/>
      <c r="N8" s="194"/>
      <c r="O8" s="96"/>
      <c r="P8" s="96"/>
      <c r="Q8" s="180" t="s">
        <v>18</v>
      </c>
      <c r="R8" s="164"/>
      <c r="S8" s="164"/>
      <c r="T8" s="165"/>
      <c r="U8" s="118">
        <f>V8/$N$11</f>
        <v>0.5</v>
      </c>
      <c r="V8" s="119">
        <f>V15</f>
        <v>16000</v>
      </c>
      <c r="W8" s="96"/>
      <c r="X8" s="96"/>
      <c r="Y8" s="180" t="s">
        <v>18</v>
      </c>
      <c r="Z8" s="164"/>
      <c r="AA8" s="164"/>
      <c r="AB8" s="165"/>
      <c r="AC8" s="118">
        <f>AD8/$N$11</f>
        <v>0.5</v>
      </c>
      <c r="AD8" s="119">
        <f>Z15+AB15</f>
        <v>16000</v>
      </c>
      <c r="AE8" s="96"/>
      <c r="AF8" s="96"/>
      <c r="AG8" s="180" t="s">
        <v>18</v>
      </c>
      <c r="AH8" s="164"/>
      <c r="AI8" s="164"/>
      <c r="AJ8" s="165"/>
      <c r="AK8" s="118">
        <f>AL8/$N$11</f>
        <v>0</v>
      </c>
      <c r="AL8" s="119">
        <f>AH15+AJ15</f>
        <v>0</v>
      </c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</row>
    <row r="9" spans="1:84" s="120" customFormat="1" ht="15" customHeight="1" thickTop="1" x14ac:dyDescent="0.25">
      <c r="A9" s="96"/>
      <c r="B9" s="196"/>
      <c r="C9" s="197"/>
      <c r="D9" s="163" t="s">
        <v>19</v>
      </c>
      <c r="E9" s="164"/>
      <c r="F9" s="164"/>
      <c r="G9" s="164"/>
      <c r="H9" s="164"/>
      <c r="I9" s="164"/>
      <c r="J9" s="164"/>
      <c r="K9" s="164"/>
      <c r="L9" s="164"/>
      <c r="M9" s="165"/>
      <c r="N9" s="121">
        <v>32000</v>
      </c>
      <c r="O9" s="96"/>
      <c r="P9" s="96"/>
      <c r="Q9" s="180" t="s">
        <v>20</v>
      </c>
      <c r="R9" s="164"/>
      <c r="S9" s="164"/>
      <c r="T9" s="165"/>
      <c r="U9" s="118">
        <v>0</v>
      </c>
      <c r="V9" s="119">
        <f>(U9*$N$11)</f>
        <v>0</v>
      </c>
      <c r="W9" s="96"/>
      <c r="X9" s="96"/>
      <c r="Y9" s="180" t="s">
        <v>20</v>
      </c>
      <c r="Z9" s="164"/>
      <c r="AA9" s="164"/>
      <c r="AB9" s="165"/>
      <c r="AC9" s="118">
        <v>0</v>
      </c>
      <c r="AD9" s="119">
        <f>(AC9*$N$11)</f>
        <v>0</v>
      </c>
      <c r="AE9" s="96"/>
      <c r="AF9" s="96"/>
      <c r="AG9" s="180" t="s">
        <v>20</v>
      </c>
      <c r="AH9" s="164"/>
      <c r="AI9" s="164"/>
      <c r="AJ9" s="165"/>
      <c r="AK9" s="118">
        <v>0</v>
      </c>
      <c r="AL9" s="119">
        <f>(AK9*$N$11)</f>
        <v>0</v>
      </c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</row>
    <row r="10" spans="1:84" s="120" customFormat="1" ht="15" customHeight="1" x14ac:dyDescent="0.25">
      <c r="A10" s="96"/>
      <c r="B10" s="196"/>
      <c r="C10" s="197"/>
      <c r="D10" s="163" t="s">
        <v>21</v>
      </c>
      <c r="E10" s="164"/>
      <c r="F10" s="164"/>
      <c r="G10" s="164"/>
      <c r="H10" s="164"/>
      <c r="I10" s="164"/>
      <c r="J10" s="164"/>
      <c r="K10" s="164"/>
      <c r="L10" s="164"/>
      <c r="M10" s="165"/>
      <c r="N10" s="121">
        <v>0</v>
      </c>
      <c r="O10" s="96"/>
      <c r="P10" s="96"/>
      <c r="Q10" s="180" t="s">
        <v>22</v>
      </c>
      <c r="R10" s="164"/>
      <c r="S10" s="164"/>
      <c r="T10" s="165"/>
      <c r="U10" s="118">
        <f>V10/$N$11</f>
        <v>0.5</v>
      </c>
      <c r="V10" s="119">
        <f>V8</f>
        <v>16000</v>
      </c>
      <c r="W10" s="96"/>
      <c r="X10" s="96"/>
      <c r="Y10" s="180" t="s">
        <v>22</v>
      </c>
      <c r="Z10" s="164"/>
      <c r="AA10" s="164"/>
      <c r="AB10" s="165"/>
      <c r="AC10" s="118">
        <f>AD10/$N$11</f>
        <v>1</v>
      </c>
      <c r="AD10" s="122">
        <f>AD8+V10</f>
        <v>32000</v>
      </c>
      <c r="AE10" s="96"/>
      <c r="AF10" s="96"/>
      <c r="AG10" s="180" t="s">
        <v>22</v>
      </c>
      <c r="AH10" s="164"/>
      <c r="AI10" s="164"/>
      <c r="AJ10" s="165"/>
      <c r="AK10" s="118">
        <f>AL10/$N$11</f>
        <v>1</v>
      </c>
      <c r="AL10" s="122">
        <f>AL8+AD10</f>
        <v>32000</v>
      </c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</row>
    <row r="11" spans="1:84" s="120" customFormat="1" ht="15.75" customHeight="1" thickBot="1" x14ac:dyDescent="0.3">
      <c r="A11" s="96"/>
      <c r="B11" s="198"/>
      <c r="C11" s="159"/>
      <c r="D11" s="191" t="s">
        <v>23</v>
      </c>
      <c r="E11" s="182"/>
      <c r="F11" s="182"/>
      <c r="G11" s="182"/>
      <c r="H11" s="182"/>
      <c r="I11" s="182"/>
      <c r="J11" s="182"/>
      <c r="K11" s="182"/>
      <c r="L11" s="182"/>
      <c r="M11" s="183"/>
      <c r="N11" s="123">
        <f>N9-N10</f>
        <v>32000</v>
      </c>
      <c r="O11" s="96"/>
      <c r="P11" s="96"/>
      <c r="Q11" s="181" t="s">
        <v>24</v>
      </c>
      <c r="R11" s="182"/>
      <c r="S11" s="182"/>
      <c r="T11" s="183"/>
      <c r="U11" s="124">
        <f>V11/$N$11</f>
        <v>0.5</v>
      </c>
      <c r="V11" s="125">
        <f>$N$11-V10</f>
        <v>16000</v>
      </c>
      <c r="W11" s="96"/>
      <c r="X11" s="96"/>
      <c r="Y11" s="181" t="s">
        <v>24</v>
      </c>
      <c r="Z11" s="182"/>
      <c r="AA11" s="182"/>
      <c r="AB11" s="183"/>
      <c r="AC11" s="124">
        <f>AD11/$N$11</f>
        <v>0</v>
      </c>
      <c r="AD11" s="126">
        <f>$N$11-AD10</f>
        <v>0</v>
      </c>
      <c r="AE11" s="96"/>
      <c r="AF11" s="96"/>
      <c r="AG11" s="181" t="s">
        <v>24</v>
      </c>
      <c r="AH11" s="182"/>
      <c r="AI11" s="182"/>
      <c r="AJ11" s="183"/>
      <c r="AK11" s="124">
        <f>AL11/$N$11</f>
        <v>0</v>
      </c>
      <c r="AL11" s="126">
        <f>$N$11-AL10</f>
        <v>0</v>
      </c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</row>
    <row r="12" spans="1:84" ht="15" customHeight="1" thickTop="1" thickBot="1" x14ac:dyDescent="0.3">
      <c r="B12" s="1"/>
      <c r="C12" s="2"/>
      <c r="D12" s="3"/>
      <c r="E12" s="4"/>
      <c r="F12" s="3"/>
      <c r="G12" s="3"/>
      <c r="H12" s="3"/>
      <c r="I12" s="3"/>
      <c r="J12" s="3"/>
      <c r="K12" s="3"/>
      <c r="L12" s="5"/>
      <c r="M12" s="5"/>
      <c r="N12" s="6"/>
    </row>
    <row r="13" spans="1:84" ht="15.75" customHeight="1" thickTop="1" x14ac:dyDescent="0.25">
      <c r="B13" s="7" t="s">
        <v>25</v>
      </c>
      <c r="C13" s="8" t="s">
        <v>26</v>
      </c>
      <c r="D13" s="51" t="s">
        <v>27</v>
      </c>
      <c r="E13" s="51" t="s">
        <v>28</v>
      </c>
      <c r="F13" s="184" t="s">
        <v>29</v>
      </c>
      <c r="G13" s="185"/>
      <c r="H13" s="186"/>
      <c r="I13" s="184" t="s">
        <v>30</v>
      </c>
      <c r="J13" s="185"/>
      <c r="K13" s="186"/>
      <c r="L13" s="190" t="s">
        <v>31</v>
      </c>
      <c r="M13" s="172"/>
      <c r="N13" s="9" t="s">
        <v>32</v>
      </c>
      <c r="Q13" s="171" t="s">
        <v>33</v>
      </c>
      <c r="R13" s="172"/>
      <c r="S13" s="172"/>
      <c r="T13" s="173"/>
      <c r="U13" s="166" t="s">
        <v>34</v>
      </c>
      <c r="V13" s="167"/>
      <c r="Y13" s="171" t="s">
        <v>33</v>
      </c>
      <c r="Z13" s="172"/>
      <c r="AA13" s="172"/>
      <c r="AB13" s="173"/>
      <c r="AC13" s="166" t="s">
        <v>34</v>
      </c>
      <c r="AD13" s="167"/>
      <c r="AG13" s="171" t="s">
        <v>33</v>
      </c>
      <c r="AH13" s="172"/>
      <c r="AI13" s="172"/>
      <c r="AJ13" s="173"/>
      <c r="AK13" s="166" t="s">
        <v>34</v>
      </c>
      <c r="AL13" s="167"/>
    </row>
    <row r="14" spans="1:84" ht="15" customHeight="1" x14ac:dyDescent="0.25">
      <c r="B14" s="10"/>
      <c r="C14" s="11"/>
      <c r="D14" s="52"/>
      <c r="E14" s="93"/>
      <c r="F14" s="43" t="s">
        <v>35</v>
      </c>
      <c r="G14" s="43" t="s">
        <v>36</v>
      </c>
      <c r="H14" s="43" t="s">
        <v>37</v>
      </c>
      <c r="I14" s="43" t="s">
        <v>35</v>
      </c>
      <c r="J14" s="43" t="s">
        <v>36</v>
      </c>
      <c r="K14" s="43" t="s">
        <v>37</v>
      </c>
      <c r="L14" s="43" t="s">
        <v>38</v>
      </c>
      <c r="M14" s="44" t="s">
        <v>39</v>
      </c>
      <c r="N14" s="13" t="s">
        <v>40</v>
      </c>
      <c r="Q14" s="47" t="s">
        <v>41</v>
      </c>
      <c r="R14" s="14" t="s">
        <v>42</v>
      </c>
      <c r="S14" s="14" t="s">
        <v>41</v>
      </c>
      <c r="T14" s="14" t="s">
        <v>43</v>
      </c>
      <c r="U14" s="14" t="s">
        <v>41</v>
      </c>
      <c r="V14" s="15" t="s">
        <v>44</v>
      </c>
      <c r="Y14" s="47" t="s">
        <v>41</v>
      </c>
      <c r="Z14" s="14" t="s">
        <v>42</v>
      </c>
      <c r="AA14" s="14" t="s">
        <v>41</v>
      </c>
      <c r="AB14" s="14" t="s">
        <v>43</v>
      </c>
      <c r="AC14" s="14" t="s">
        <v>41</v>
      </c>
      <c r="AD14" s="15" t="s">
        <v>44</v>
      </c>
      <c r="AG14" s="47" t="s">
        <v>41</v>
      </c>
      <c r="AH14" s="14" t="s">
        <v>42</v>
      </c>
      <c r="AI14" s="14" t="s">
        <v>41</v>
      </c>
      <c r="AJ14" s="14" t="s">
        <v>43</v>
      </c>
      <c r="AK14" s="14" t="s">
        <v>41</v>
      </c>
      <c r="AL14" s="15" t="s">
        <v>44</v>
      </c>
    </row>
    <row r="15" spans="1:84" ht="15.75" customHeight="1" thickBot="1" x14ac:dyDescent="0.3">
      <c r="B15" s="16"/>
      <c r="C15" s="17"/>
      <c r="D15" s="53"/>
      <c r="E15" s="53"/>
      <c r="F15" s="54"/>
      <c r="G15" s="54"/>
      <c r="H15" s="54"/>
      <c r="I15" s="54"/>
      <c r="J15" s="54"/>
      <c r="K15" s="54"/>
      <c r="L15" s="94">
        <f>L17+L21</f>
        <v>0</v>
      </c>
      <c r="M15" s="94">
        <f>M17+M21</f>
        <v>32000</v>
      </c>
      <c r="N15" s="95">
        <f>N17+N21</f>
        <v>32000</v>
      </c>
      <c r="Q15" s="18">
        <v>0</v>
      </c>
      <c r="R15" s="19">
        <v>0</v>
      </c>
      <c r="S15" s="18">
        <f>T15/$M$15</f>
        <v>0.5</v>
      </c>
      <c r="T15" s="19">
        <f>T17+T21</f>
        <v>16000</v>
      </c>
      <c r="U15" s="20">
        <f>V15/$N$15</f>
        <v>0.5</v>
      </c>
      <c r="V15" s="90">
        <f>V17+V21</f>
        <v>16000</v>
      </c>
      <c r="Y15" s="18">
        <v>0</v>
      </c>
      <c r="Z15" s="19">
        <f>Z17+Z21</f>
        <v>0</v>
      </c>
      <c r="AA15" s="18">
        <f>AB15/$M$15</f>
        <v>0.5</v>
      </c>
      <c r="AB15" s="19">
        <f>AB17+AB21</f>
        <v>16000</v>
      </c>
      <c r="AC15" s="20">
        <f>AD15/$N$15</f>
        <v>1</v>
      </c>
      <c r="AD15" s="21">
        <f>AD17+AD21</f>
        <v>32000</v>
      </c>
      <c r="AG15" s="18">
        <v>0</v>
      </c>
      <c r="AH15" s="19">
        <f>AH17+AH21</f>
        <v>0</v>
      </c>
      <c r="AI15" s="18">
        <f>AJ15/$M$15</f>
        <v>0</v>
      </c>
      <c r="AJ15" s="19">
        <f>AJ17+AJ21</f>
        <v>0</v>
      </c>
      <c r="AK15" s="20">
        <f>AL15/$N$15</f>
        <v>1</v>
      </c>
      <c r="AL15" s="21">
        <f>AL17+AL21</f>
        <v>32000</v>
      </c>
    </row>
    <row r="16" spans="1:84" ht="16.5" customHeight="1" thickTop="1" thickBot="1" x14ac:dyDescent="0.3">
      <c r="B16" s="22"/>
      <c r="C16" s="23"/>
      <c r="D16" s="55"/>
      <c r="E16" s="55"/>
      <c r="F16" s="56"/>
      <c r="G16" s="56"/>
      <c r="H16" s="56"/>
      <c r="I16" s="56"/>
      <c r="J16" s="56"/>
      <c r="K16" s="56"/>
      <c r="L16" s="56"/>
      <c r="M16" s="64"/>
      <c r="N16" s="57"/>
      <c r="Q16" s="48"/>
      <c r="R16" s="12"/>
      <c r="S16" s="12"/>
      <c r="T16" s="12"/>
      <c r="U16" s="24"/>
      <c r="V16" s="91"/>
      <c r="Y16" s="48"/>
      <c r="Z16" s="12"/>
      <c r="AA16" s="12"/>
      <c r="AB16" s="12"/>
      <c r="AC16" s="24"/>
      <c r="AD16" s="25"/>
      <c r="AG16" s="48"/>
      <c r="AH16" s="12"/>
      <c r="AI16" s="12"/>
      <c r="AJ16" s="12"/>
      <c r="AK16" s="24"/>
      <c r="AL16" s="25"/>
    </row>
    <row r="17" spans="2:38" ht="15.75" customHeight="1" thickTop="1" thickBot="1" x14ac:dyDescent="0.3">
      <c r="B17" s="45">
        <v>1</v>
      </c>
      <c r="C17" s="46" t="s">
        <v>45</v>
      </c>
      <c r="D17" s="58"/>
      <c r="E17" s="59"/>
      <c r="F17" s="65"/>
      <c r="G17" s="65"/>
      <c r="H17" s="65"/>
      <c r="I17" s="65"/>
      <c r="J17" s="65"/>
      <c r="K17" s="65"/>
      <c r="L17" s="60">
        <f>SUM(L18:L20)</f>
        <v>0</v>
      </c>
      <c r="M17" s="60">
        <f>SUM(M18:M20)</f>
        <v>16000</v>
      </c>
      <c r="N17" s="60">
        <f>SUM(N18:N20)</f>
        <v>16000</v>
      </c>
      <c r="Q17" s="70">
        <f>Q19</f>
        <v>0</v>
      </c>
      <c r="R17" s="71">
        <f>SUM(R19:R19)</f>
        <v>0</v>
      </c>
      <c r="S17" s="74">
        <f>SUM(S18:S20)</f>
        <v>1</v>
      </c>
      <c r="T17" s="73">
        <f>SUM(T18:T20)</f>
        <v>16000</v>
      </c>
      <c r="U17" s="74">
        <v>1</v>
      </c>
      <c r="V17" s="92">
        <f>SUM(V18:V20)</f>
        <v>16000</v>
      </c>
      <c r="Y17" s="70">
        <v>0</v>
      </c>
      <c r="Z17" s="71">
        <f>SUM(Z19:Z19)</f>
        <v>0</v>
      </c>
      <c r="AA17" s="74">
        <f>AB17/$M17</f>
        <v>0</v>
      </c>
      <c r="AB17" s="73">
        <f>SUM(AB18:AB20)</f>
        <v>0</v>
      </c>
      <c r="AC17" s="74">
        <v>1</v>
      </c>
      <c r="AD17" s="72">
        <f>SUM(AD18:AD20)</f>
        <v>16000</v>
      </c>
      <c r="AG17" s="70">
        <v>0</v>
      </c>
      <c r="AH17" s="71">
        <f>SUM(AH19:AH19)</f>
        <v>0</v>
      </c>
      <c r="AI17" s="74">
        <f>AJ17/$M17</f>
        <v>0</v>
      </c>
      <c r="AJ17" s="73">
        <f>SUM(AJ18:AJ20)</f>
        <v>0</v>
      </c>
      <c r="AK17" s="74">
        <v>1</v>
      </c>
      <c r="AL17" s="72">
        <f>SUM(AL18:AL20)</f>
        <v>16000</v>
      </c>
    </row>
    <row r="18" spans="2:38" ht="15.75" customHeight="1" outlineLevel="1" thickTop="1" x14ac:dyDescent="0.25">
      <c r="B18" s="29"/>
      <c r="C18" s="78"/>
      <c r="D18" s="61"/>
      <c r="E18" s="62"/>
      <c r="F18" s="80"/>
      <c r="G18" s="80"/>
      <c r="H18" s="80"/>
      <c r="I18" s="80"/>
      <c r="J18" s="80"/>
      <c r="K18" s="80"/>
      <c r="L18" s="80"/>
      <c r="M18" s="80"/>
      <c r="N18" s="63"/>
      <c r="Q18" s="49"/>
      <c r="R18" s="26"/>
      <c r="S18" s="26"/>
      <c r="T18" s="26"/>
      <c r="U18" s="27"/>
      <c r="V18" s="28"/>
      <c r="Y18" s="49"/>
      <c r="Z18" s="26"/>
      <c r="AA18" s="26"/>
      <c r="AB18" s="26"/>
      <c r="AC18" s="27"/>
      <c r="AD18" s="28"/>
      <c r="AG18" s="49"/>
      <c r="AH18" s="26"/>
      <c r="AI18" s="26"/>
      <c r="AJ18" s="26"/>
      <c r="AK18" s="27"/>
      <c r="AL18" s="28"/>
    </row>
    <row r="19" spans="2:38" outlineLevel="1" x14ac:dyDescent="0.2">
      <c r="B19" s="77" t="s">
        <v>46</v>
      </c>
      <c r="C19" s="79" t="s">
        <v>47</v>
      </c>
      <c r="D19" s="82" t="s">
        <v>48</v>
      </c>
      <c r="E19" s="83">
        <v>1</v>
      </c>
      <c r="F19" s="84"/>
      <c r="G19" s="84"/>
      <c r="H19" s="84"/>
      <c r="I19" s="85"/>
      <c r="J19" s="85"/>
      <c r="K19" s="85"/>
      <c r="L19" s="86">
        <v>0</v>
      </c>
      <c r="M19" s="86">
        <f>N11*50%</f>
        <v>16000</v>
      </c>
      <c r="N19" s="89">
        <f>L19+M19</f>
        <v>16000</v>
      </c>
      <c r="Q19" s="50">
        <v>0</v>
      </c>
      <c r="R19" s="30">
        <f>Q19*L19</f>
        <v>0</v>
      </c>
      <c r="S19" s="31">
        <v>1</v>
      </c>
      <c r="T19" s="30">
        <f>S19*M19</f>
        <v>16000</v>
      </c>
      <c r="U19" s="31">
        <v>1</v>
      </c>
      <c r="V19" s="89">
        <f>R19+T19</f>
        <v>16000</v>
      </c>
      <c r="Y19" s="50">
        <v>0</v>
      </c>
      <c r="Z19" s="30">
        <f>Y19*$L19</f>
        <v>0</v>
      </c>
      <c r="AA19" s="31">
        <v>0</v>
      </c>
      <c r="AB19" s="30">
        <f>AA19*V19</f>
        <v>0</v>
      </c>
      <c r="AC19" s="31">
        <f>U19+AA19+Y19</f>
        <v>1</v>
      </c>
      <c r="AD19" s="32">
        <f>Z19+AB19+V19</f>
        <v>16000</v>
      </c>
      <c r="AG19" s="50">
        <v>0</v>
      </c>
      <c r="AH19" s="30">
        <f>AG19*$L19</f>
        <v>0</v>
      </c>
      <c r="AI19" s="31">
        <v>0</v>
      </c>
      <c r="AJ19" s="30">
        <f>AI19*AC19</f>
        <v>0</v>
      </c>
      <c r="AK19" s="31">
        <f>AA19+AI19+AG19+Y19+S19+Q19</f>
        <v>1</v>
      </c>
      <c r="AL19" s="32">
        <f>AH19+AJ19+AD19</f>
        <v>16000</v>
      </c>
    </row>
    <row r="20" spans="2:38" ht="15" customHeight="1" outlineLevel="1" thickBot="1" x14ac:dyDescent="0.25">
      <c r="B20" s="33"/>
      <c r="C20" s="35"/>
      <c r="D20" s="81"/>
      <c r="E20" s="75"/>
      <c r="F20" s="66"/>
      <c r="G20" s="66"/>
      <c r="H20" s="66"/>
      <c r="I20" s="66"/>
      <c r="J20" s="66"/>
      <c r="K20" s="66"/>
      <c r="L20" s="67"/>
      <c r="M20" s="67"/>
      <c r="N20" s="34"/>
      <c r="Q20" s="50"/>
      <c r="R20" s="30"/>
      <c r="S20" s="36"/>
      <c r="T20" s="30"/>
      <c r="U20" s="37"/>
      <c r="V20" s="89"/>
      <c r="Y20" s="50"/>
      <c r="Z20" s="30"/>
      <c r="AA20" s="36"/>
      <c r="AB20" s="30"/>
      <c r="AC20" s="37"/>
      <c r="AD20" s="32"/>
      <c r="AG20" s="50"/>
      <c r="AH20" s="30"/>
      <c r="AI20" s="36"/>
      <c r="AJ20" s="30"/>
      <c r="AK20" s="37"/>
      <c r="AL20" s="32"/>
    </row>
    <row r="21" spans="2:38" ht="15.75" customHeight="1" thickTop="1" thickBot="1" x14ac:dyDescent="0.3">
      <c r="B21" s="45">
        <v>2</v>
      </c>
      <c r="C21" s="46" t="s">
        <v>49</v>
      </c>
      <c r="D21" s="58"/>
      <c r="E21" s="59"/>
      <c r="F21" s="65"/>
      <c r="G21" s="65"/>
      <c r="H21" s="65"/>
      <c r="I21" s="65"/>
      <c r="J21" s="65"/>
      <c r="K21" s="65"/>
      <c r="L21" s="60">
        <f>SUM(L22:L29)</f>
        <v>0</v>
      </c>
      <c r="M21" s="60">
        <f>SUM(M22:M29)</f>
        <v>16000</v>
      </c>
      <c r="N21" s="60">
        <f>SUM(N22:N29)</f>
        <v>16000</v>
      </c>
      <c r="Q21" s="70">
        <f>Q23</f>
        <v>0</v>
      </c>
      <c r="R21" s="71">
        <f>SUM(R23:R23)</f>
        <v>0</v>
      </c>
      <c r="S21" s="74">
        <f>S23</f>
        <v>0</v>
      </c>
      <c r="T21" s="73">
        <f>T23</f>
        <v>0</v>
      </c>
      <c r="U21" s="74">
        <f>U23</f>
        <v>0</v>
      </c>
      <c r="V21" s="92">
        <f>V23</f>
        <v>0</v>
      </c>
      <c r="Y21" s="70">
        <f t="shared" ref="Y21:AD21" si="0">Y23</f>
        <v>0</v>
      </c>
      <c r="Z21" s="71">
        <f t="shared" si="0"/>
        <v>0</v>
      </c>
      <c r="AA21" s="74">
        <f t="shared" si="0"/>
        <v>1</v>
      </c>
      <c r="AB21" s="73">
        <f t="shared" si="0"/>
        <v>16000</v>
      </c>
      <c r="AC21" s="74">
        <f t="shared" si="0"/>
        <v>1</v>
      </c>
      <c r="AD21" s="72">
        <f t="shared" si="0"/>
        <v>16000</v>
      </c>
      <c r="AG21" s="70">
        <v>0</v>
      </c>
      <c r="AH21" s="71">
        <f>SUM(AH23:AH23)</f>
        <v>0</v>
      </c>
      <c r="AI21" s="74">
        <f>AJ21/$M21</f>
        <v>0</v>
      </c>
      <c r="AJ21" s="73">
        <f>SUM(AJ22:AJ29)</f>
        <v>0</v>
      </c>
      <c r="AK21" s="74">
        <v>1</v>
      </c>
      <c r="AL21" s="72">
        <f>SUM(AL22:AL29)</f>
        <v>16000</v>
      </c>
    </row>
    <row r="22" spans="2:38" ht="15.75" customHeight="1" outlineLevel="1" thickTop="1" x14ac:dyDescent="0.25">
      <c r="B22" s="29"/>
      <c r="C22" s="78"/>
      <c r="D22" s="61"/>
      <c r="E22" s="62"/>
      <c r="F22" s="80"/>
      <c r="G22" s="80"/>
      <c r="H22" s="80"/>
      <c r="I22" s="80"/>
      <c r="J22" s="80"/>
      <c r="K22" s="80"/>
      <c r="L22" s="80"/>
      <c r="M22" s="80"/>
      <c r="N22" s="63"/>
      <c r="Q22" s="49"/>
      <c r="R22" s="26"/>
      <c r="S22" s="26"/>
      <c r="T22" s="26"/>
      <c r="U22" s="27"/>
      <c r="V22" s="28"/>
      <c r="Y22" s="49"/>
      <c r="Z22" s="26"/>
      <c r="AA22" s="26"/>
      <c r="AB22" s="26"/>
      <c r="AC22" s="27"/>
      <c r="AD22" s="28"/>
      <c r="AG22" s="49"/>
      <c r="AH22" s="26"/>
      <c r="AI22" s="26"/>
      <c r="AJ22" s="26"/>
      <c r="AK22" s="27"/>
      <c r="AL22" s="28"/>
    </row>
    <row r="23" spans="2:38" outlineLevel="1" x14ac:dyDescent="0.2">
      <c r="B23" s="50" t="s">
        <v>50</v>
      </c>
      <c r="C23" s="79" t="s">
        <v>51</v>
      </c>
      <c r="D23" s="82" t="s">
        <v>48</v>
      </c>
      <c r="E23" s="83">
        <v>1</v>
      </c>
      <c r="F23" s="84"/>
      <c r="G23" s="84"/>
      <c r="H23" s="84"/>
      <c r="I23" s="85"/>
      <c r="J23" s="85"/>
      <c r="K23" s="85"/>
      <c r="L23" s="86">
        <v>0</v>
      </c>
      <c r="M23" s="86">
        <f>N11*50%</f>
        <v>16000</v>
      </c>
      <c r="N23" s="89">
        <f>L23+M23</f>
        <v>16000</v>
      </c>
      <c r="Q23" s="50">
        <v>0</v>
      </c>
      <c r="R23" s="30">
        <f>Q23*L23</f>
        <v>0</v>
      </c>
      <c r="S23" s="31">
        <v>0</v>
      </c>
      <c r="T23" s="30">
        <f>S23*$M$23</f>
        <v>0</v>
      </c>
      <c r="U23" s="31">
        <f>V23/$N23</f>
        <v>0</v>
      </c>
      <c r="V23" s="89">
        <f>R23+T23</f>
        <v>0</v>
      </c>
      <c r="Y23" s="50">
        <v>0</v>
      </c>
      <c r="Z23" s="30">
        <f>Y23*$L23</f>
        <v>0</v>
      </c>
      <c r="AA23" s="31">
        <v>1</v>
      </c>
      <c r="AB23" s="30">
        <f>AA23*$M$23</f>
        <v>16000</v>
      </c>
      <c r="AC23" s="31">
        <f>U23+AA23+Y23</f>
        <v>1</v>
      </c>
      <c r="AD23" s="32">
        <f>Z23+AB23+V23</f>
        <v>16000</v>
      </c>
      <c r="AG23" s="50">
        <v>0</v>
      </c>
      <c r="AH23" s="30">
        <f>AG23*$L23</f>
        <v>0</v>
      </c>
      <c r="AI23" s="31">
        <v>0</v>
      </c>
      <c r="AJ23" s="30">
        <f>AI23*$M$23</f>
        <v>0</v>
      </c>
      <c r="AK23" s="31">
        <f>AA23+AI23+AG23+Y23+S23+Q23</f>
        <v>1</v>
      </c>
      <c r="AL23" s="32">
        <f>AH23+AJ23+AB23+Z23+T23+R23</f>
        <v>16000</v>
      </c>
    </row>
    <row r="24" spans="2:38" s="127" customFormat="1" ht="15.75" customHeight="1" outlineLevel="1" x14ac:dyDescent="0.2">
      <c r="B24" s="50"/>
      <c r="C24" s="79"/>
      <c r="D24" s="82"/>
      <c r="E24" s="83"/>
      <c r="F24" s="84"/>
      <c r="G24" s="84"/>
      <c r="H24" s="84"/>
      <c r="I24" s="85"/>
      <c r="J24" s="85"/>
      <c r="K24" s="85"/>
      <c r="L24" s="86"/>
      <c r="M24" s="86"/>
      <c r="N24" s="89"/>
      <c r="Q24" s="50"/>
      <c r="R24" s="30"/>
      <c r="S24" s="31"/>
      <c r="T24" s="30"/>
      <c r="U24" s="31"/>
      <c r="V24" s="89"/>
      <c r="Y24" s="50"/>
      <c r="Z24" s="30"/>
      <c r="AA24" s="31"/>
      <c r="AB24" s="30"/>
      <c r="AC24" s="31"/>
      <c r="AD24" s="32"/>
      <c r="AG24" s="50"/>
      <c r="AH24" s="30"/>
      <c r="AI24" s="31"/>
      <c r="AJ24" s="30"/>
      <c r="AK24" s="31"/>
      <c r="AL24" s="32"/>
    </row>
    <row r="25" spans="2:38" s="127" customFormat="1" ht="15.75" customHeight="1" outlineLevel="1" x14ac:dyDescent="0.2">
      <c r="B25" s="50"/>
      <c r="C25" s="79"/>
      <c r="D25" s="82"/>
      <c r="E25" s="83"/>
      <c r="F25" s="84"/>
      <c r="G25" s="84"/>
      <c r="H25" s="84"/>
      <c r="I25" s="85"/>
      <c r="J25" s="85"/>
      <c r="K25" s="85"/>
      <c r="L25" s="86"/>
      <c r="M25" s="86"/>
      <c r="N25" s="89"/>
      <c r="Q25" s="50"/>
      <c r="R25" s="30"/>
      <c r="S25" s="31"/>
      <c r="T25" s="30"/>
      <c r="U25" s="31"/>
      <c r="V25" s="89"/>
      <c r="Y25" s="50"/>
      <c r="Z25" s="30"/>
      <c r="AA25" s="31"/>
      <c r="AB25" s="30"/>
      <c r="AC25" s="31"/>
      <c r="AD25" s="32"/>
      <c r="AG25" s="50"/>
      <c r="AH25" s="30"/>
      <c r="AI25" s="31"/>
      <c r="AJ25" s="30"/>
      <c r="AK25" s="31"/>
      <c r="AL25" s="32"/>
    </row>
    <row r="26" spans="2:38" s="127" customFormat="1" ht="15.75" customHeight="1" outlineLevel="1" x14ac:dyDescent="0.2">
      <c r="B26" s="50"/>
      <c r="C26" s="79"/>
      <c r="D26" s="82"/>
      <c r="E26" s="83"/>
      <c r="F26" s="84"/>
      <c r="G26" s="84"/>
      <c r="H26" s="84"/>
      <c r="I26" s="85"/>
      <c r="J26" s="85"/>
      <c r="K26" s="85"/>
      <c r="L26" s="86"/>
      <c r="M26" s="86"/>
      <c r="N26" s="89"/>
      <c r="Q26" s="50"/>
      <c r="R26" s="30"/>
      <c r="S26" s="31"/>
      <c r="T26" s="30"/>
      <c r="U26" s="31"/>
      <c r="V26" s="89"/>
      <c r="Y26" s="50"/>
      <c r="Z26" s="30"/>
      <c r="AA26" s="31"/>
      <c r="AB26" s="30"/>
      <c r="AC26" s="31"/>
      <c r="AD26" s="32"/>
      <c r="AG26" s="50"/>
      <c r="AH26" s="30"/>
      <c r="AI26" s="31"/>
      <c r="AJ26" s="30"/>
      <c r="AK26" s="31"/>
      <c r="AL26" s="32"/>
    </row>
    <row r="27" spans="2:38" s="127" customFormat="1" ht="15.75" customHeight="1" outlineLevel="1" x14ac:dyDescent="0.2">
      <c r="B27" s="50"/>
      <c r="C27" s="79"/>
      <c r="D27" s="82"/>
      <c r="E27" s="83"/>
      <c r="F27" s="84"/>
      <c r="G27" s="84"/>
      <c r="H27" s="84"/>
      <c r="I27" s="85"/>
      <c r="J27" s="85"/>
      <c r="K27" s="85"/>
      <c r="L27" s="86"/>
      <c r="M27" s="86"/>
      <c r="N27" s="89"/>
      <c r="Q27" s="50"/>
      <c r="R27" s="30"/>
      <c r="S27" s="31"/>
      <c r="T27" s="30"/>
      <c r="U27" s="31"/>
      <c r="V27" s="89"/>
      <c r="Y27" s="50"/>
      <c r="Z27" s="30"/>
      <c r="AA27" s="31"/>
      <c r="AB27" s="30"/>
      <c r="AC27" s="31"/>
      <c r="AD27" s="32"/>
      <c r="AG27" s="50"/>
      <c r="AH27" s="30"/>
      <c r="AI27" s="31"/>
      <c r="AJ27" s="30"/>
      <c r="AK27" s="31"/>
      <c r="AL27" s="32"/>
    </row>
    <row r="28" spans="2:38" s="127" customFormat="1" ht="15.75" customHeight="1" outlineLevel="1" x14ac:dyDescent="0.2">
      <c r="B28" s="50"/>
      <c r="C28" s="79"/>
      <c r="D28" s="82"/>
      <c r="E28" s="83"/>
      <c r="F28" s="84"/>
      <c r="G28" s="84"/>
      <c r="H28" s="84"/>
      <c r="I28" s="85"/>
      <c r="J28" s="85"/>
      <c r="K28" s="85"/>
      <c r="L28" s="86"/>
      <c r="M28" s="86"/>
      <c r="N28" s="89"/>
      <c r="Q28" s="50"/>
      <c r="R28" s="30"/>
      <c r="S28" s="31"/>
      <c r="T28" s="30"/>
      <c r="U28" s="31"/>
      <c r="V28" s="89"/>
      <c r="Y28" s="50"/>
      <c r="Z28" s="30"/>
      <c r="AA28" s="31"/>
      <c r="AB28" s="30"/>
      <c r="AC28" s="31"/>
      <c r="AD28" s="32"/>
      <c r="AG28" s="50"/>
      <c r="AH28" s="30"/>
      <c r="AI28" s="31"/>
      <c r="AJ28" s="30"/>
      <c r="AK28" s="31"/>
      <c r="AL28" s="32"/>
    </row>
    <row r="29" spans="2:38" s="127" customFormat="1" ht="15.75" customHeight="1" thickBot="1" x14ac:dyDescent="0.25">
      <c r="B29" s="38"/>
      <c r="C29" s="87"/>
      <c r="D29" s="88"/>
      <c r="E29" s="76"/>
      <c r="F29" s="68"/>
      <c r="G29" s="68"/>
      <c r="H29" s="68"/>
      <c r="I29" s="68"/>
      <c r="J29" s="68"/>
      <c r="K29" s="68"/>
      <c r="L29" s="68"/>
      <c r="M29" s="68"/>
      <c r="N29" s="39"/>
      <c r="P29" s="128"/>
      <c r="Q29" s="69"/>
      <c r="R29" s="40"/>
      <c r="S29" s="40"/>
      <c r="T29" s="40"/>
      <c r="U29" s="41"/>
      <c r="V29" s="42"/>
      <c r="X29" s="128"/>
      <c r="Y29" s="69"/>
      <c r="Z29" s="40"/>
      <c r="AA29" s="40"/>
      <c r="AB29" s="40"/>
      <c r="AC29" s="41"/>
      <c r="AD29" s="42"/>
      <c r="AF29" s="128"/>
      <c r="AG29" s="69"/>
      <c r="AH29" s="40"/>
      <c r="AI29" s="40"/>
      <c r="AJ29" s="40"/>
      <c r="AK29" s="41"/>
      <c r="AL29" s="42"/>
    </row>
    <row r="30" spans="2:38" ht="15.75" customHeight="1" thickTop="1" thickBot="1" x14ac:dyDescent="0.25">
      <c r="I30" s="129"/>
      <c r="J30" s="129"/>
      <c r="K30" s="129"/>
    </row>
    <row r="31" spans="2:38" ht="15" thickTop="1" x14ac:dyDescent="0.2">
      <c r="B31" s="130" t="s">
        <v>52</v>
      </c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2"/>
      <c r="W31" s="131"/>
      <c r="X31" s="131"/>
      <c r="Y31" s="131"/>
      <c r="Z31" s="131"/>
      <c r="AA31" s="131"/>
      <c r="AB31" s="131"/>
      <c r="AC31" s="131"/>
      <c r="AD31" s="132"/>
      <c r="AF31" s="131"/>
      <c r="AG31" s="131"/>
      <c r="AH31" s="131"/>
      <c r="AI31" s="131"/>
      <c r="AJ31" s="131"/>
      <c r="AK31" s="131"/>
      <c r="AL31" s="132"/>
    </row>
    <row r="32" spans="2:38" ht="15" customHeight="1" x14ac:dyDescent="0.2">
      <c r="B32" s="133" t="s">
        <v>53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5"/>
      <c r="W32" s="134"/>
      <c r="X32" s="134"/>
      <c r="Y32" s="134"/>
      <c r="Z32" s="134"/>
      <c r="AA32" s="134"/>
      <c r="AB32" s="134"/>
      <c r="AC32" s="134"/>
      <c r="AD32" s="135"/>
      <c r="AE32" s="134"/>
      <c r="AF32" s="134"/>
      <c r="AG32" s="134"/>
      <c r="AH32" s="134"/>
      <c r="AI32" s="134"/>
      <c r="AJ32" s="134"/>
      <c r="AK32" s="134"/>
      <c r="AL32" s="135"/>
    </row>
    <row r="33" spans="2:38" ht="15" customHeight="1" x14ac:dyDescent="0.2">
      <c r="B33" s="133" t="s">
        <v>57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5"/>
      <c r="W33" s="134"/>
      <c r="X33" s="134"/>
      <c r="Y33" s="134"/>
      <c r="Z33" s="134"/>
      <c r="AA33" s="134"/>
      <c r="AB33" s="134"/>
      <c r="AC33" s="134"/>
      <c r="AD33" s="135"/>
      <c r="AE33" s="134"/>
      <c r="AF33" s="134"/>
      <c r="AG33" s="134"/>
      <c r="AH33" s="134"/>
      <c r="AI33" s="134"/>
      <c r="AJ33" s="134"/>
      <c r="AK33" s="134"/>
      <c r="AL33" s="135"/>
    </row>
    <row r="34" spans="2:38" ht="15" thickBot="1" x14ac:dyDescent="0.25">
      <c r="B34" s="136" t="s">
        <v>58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8"/>
      <c r="W34" s="137"/>
      <c r="X34" s="137"/>
      <c r="Y34" s="137"/>
      <c r="Z34" s="137"/>
      <c r="AA34" s="137"/>
      <c r="AB34" s="137"/>
      <c r="AC34" s="137"/>
      <c r="AD34" s="138"/>
      <c r="AE34" s="134"/>
      <c r="AF34" s="137"/>
      <c r="AG34" s="137"/>
      <c r="AH34" s="137"/>
      <c r="AI34" s="137"/>
      <c r="AJ34" s="137"/>
      <c r="AK34" s="137"/>
      <c r="AL34" s="138"/>
    </row>
    <row r="35" spans="2:38" ht="15" customHeight="1" thickTop="1" x14ac:dyDescent="0.2"/>
    <row r="36" spans="2:38" x14ac:dyDescent="0.2">
      <c r="B36" s="139"/>
      <c r="C36" s="140"/>
      <c r="D36" s="140"/>
      <c r="E36" s="141"/>
      <c r="F36" s="140"/>
      <c r="G36" s="140"/>
      <c r="H36" s="140"/>
      <c r="I36" s="140"/>
      <c r="J36" s="140"/>
      <c r="K36" s="140"/>
      <c r="L36" s="142"/>
      <c r="M36" s="142"/>
      <c r="N36" s="143"/>
      <c r="Q36" s="139"/>
      <c r="R36" s="140"/>
      <c r="S36" s="140"/>
      <c r="T36" s="140"/>
      <c r="U36" s="140"/>
      <c r="V36" s="144"/>
      <c r="Y36" s="139"/>
      <c r="Z36" s="140"/>
      <c r="AA36" s="140"/>
      <c r="AB36" s="140"/>
      <c r="AC36" s="140"/>
      <c r="AD36" s="144"/>
      <c r="AG36" s="139"/>
      <c r="AH36" s="140"/>
      <c r="AI36" s="140"/>
      <c r="AJ36" s="140"/>
      <c r="AK36" s="140"/>
      <c r="AL36" s="144"/>
    </row>
    <row r="37" spans="2:38" ht="15" customHeight="1" thickBot="1" x14ac:dyDescent="0.25">
      <c r="B37" s="145"/>
      <c r="C37" s="146"/>
      <c r="N37" s="147"/>
      <c r="Q37" s="148"/>
      <c r="R37" s="146"/>
      <c r="U37" s="146"/>
      <c r="V37" s="149"/>
      <c r="Y37" s="148"/>
      <c r="Z37" s="146"/>
      <c r="AA37" s="146"/>
      <c r="AB37" s="146"/>
      <c r="AD37" s="149"/>
      <c r="AG37" s="148"/>
      <c r="AH37" s="146"/>
      <c r="AI37" s="146"/>
      <c r="AJ37" s="146"/>
      <c r="AL37" s="149"/>
    </row>
    <row r="38" spans="2:38" x14ac:dyDescent="0.2">
      <c r="B38" s="145"/>
      <c r="C38" s="97" t="s">
        <v>54</v>
      </c>
      <c r="N38" s="147"/>
      <c r="Q38" s="145" t="s">
        <v>55</v>
      </c>
      <c r="V38" s="150" t="s">
        <v>56</v>
      </c>
      <c r="Y38" s="145" t="s">
        <v>60</v>
      </c>
      <c r="AD38" s="147" t="s">
        <v>56</v>
      </c>
      <c r="AG38" s="145" t="s">
        <v>55</v>
      </c>
      <c r="AL38" s="147" t="s">
        <v>56</v>
      </c>
    </row>
    <row r="39" spans="2:38" x14ac:dyDescent="0.2">
      <c r="B39" s="151"/>
      <c r="C39" s="152"/>
      <c r="D39" s="152"/>
      <c r="E39" s="153"/>
      <c r="F39" s="152"/>
      <c r="G39" s="152"/>
      <c r="H39" s="152"/>
      <c r="I39" s="152"/>
      <c r="J39" s="152"/>
      <c r="K39" s="152"/>
      <c r="L39" s="154"/>
      <c r="M39" s="154"/>
      <c r="N39" s="155"/>
      <c r="Q39" s="151"/>
      <c r="R39" s="152"/>
      <c r="S39" s="152"/>
      <c r="T39" s="152"/>
      <c r="U39" s="152"/>
      <c r="V39" s="156"/>
      <c r="Y39" s="151"/>
      <c r="Z39" s="152"/>
      <c r="AA39" s="152"/>
      <c r="AB39" s="152"/>
      <c r="AC39" s="152"/>
      <c r="AD39" s="156"/>
      <c r="AG39" s="151"/>
      <c r="AH39" s="152"/>
      <c r="AI39" s="152"/>
      <c r="AJ39" s="152"/>
      <c r="AK39" s="152"/>
      <c r="AL39" s="156"/>
    </row>
  </sheetData>
  <mergeCells count="45">
    <mergeCell ref="B8:C11"/>
    <mergeCell ref="AG6:AL6"/>
    <mergeCell ref="AG13:AJ13"/>
    <mergeCell ref="Y2:AD2"/>
    <mergeCell ref="Y13:AB13"/>
    <mergeCell ref="AG8:AJ8"/>
    <mergeCell ref="AG10:AJ10"/>
    <mergeCell ref="AG9:AJ9"/>
    <mergeCell ref="AG11:AJ11"/>
    <mergeCell ref="C6:L6"/>
    <mergeCell ref="Q2:V2"/>
    <mergeCell ref="Y9:AB9"/>
    <mergeCell ref="C4:L4"/>
    <mergeCell ref="Y11:AB11"/>
    <mergeCell ref="Q4:V4"/>
    <mergeCell ref="Q6:V6"/>
    <mergeCell ref="D10:M10"/>
    <mergeCell ref="C5:L5"/>
    <mergeCell ref="Q8:T8"/>
    <mergeCell ref="Q10:T10"/>
    <mergeCell ref="D11:M11"/>
    <mergeCell ref="U13:V13"/>
    <mergeCell ref="AG5:AL5"/>
    <mergeCell ref="AG4:AL4"/>
    <mergeCell ref="AG7:AL7"/>
    <mergeCell ref="Y7:AD7"/>
    <mergeCell ref="Y8:AB8"/>
    <mergeCell ref="Y6:AD6"/>
    <mergeCell ref="Q13:T13"/>
    <mergeCell ref="Q7:V7"/>
    <mergeCell ref="Y4:AD4"/>
    <mergeCell ref="Y10:AB10"/>
    <mergeCell ref="Q9:T9"/>
    <mergeCell ref="Q11:T11"/>
    <mergeCell ref="AK13:AL13"/>
    <mergeCell ref="Y5:AD5"/>
    <mergeCell ref="AG2:AL2"/>
    <mergeCell ref="Q5:V5"/>
    <mergeCell ref="D9:M9"/>
    <mergeCell ref="AC13:AD13"/>
    <mergeCell ref="C2:L3"/>
    <mergeCell ref="F13:H13"/>
    <mergeCell ref="I13:K13"/>
    <mergeCell ref="L13:M13"/>
    <mergeCell ref="D8:N8"/>
  </mergeCells>
  <pageMargins left="0.23622047244094491" right="0.23622047244094491" top="0.74803149606299213" bottom="0.74803149606299213" header="0.31496062992125978" footer="0.31496062992125978"/>
  <pageSetup paperSize="9" scale="59" fitToHeight="0" orientation="landscape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TSE</vt:lpstr>
      <vt:lpstr>TSE!Area_de_impressao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Allyff Carneiro</dc:creator>
  <cp:lastModifiedBy>Samuel Ribeiro Morais</cp:lastModifiedBy>
  <cp:lastPrinted>2026-06-25T20:12:35Z</cp:lastPrinted>
  <dcterms:created xsi:type="dcterms:W3CDTF">2020-06-07T19:55:09Z</dcterms:created>
  <dcterms:modified xsi:type="dcterms:W3CDTF">2026-06-25T20:12:51Z</dcterms:modified>
</cp:coreProperties>
</file>